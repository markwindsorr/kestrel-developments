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 New " sheetId="1" r:id="rId5"/>
  </sheets>
  <definedNames/>
  <calcPr/>
</workbook>
</file>

<file path=xl/sharedStrings.xml><?xml version="1.0" encoding="utf-8"?>
<sst xmlns="http://schemas.openxmlformats.org/spreadsheetml/2006/main" count="110" uniqueCount="84">
  <si>
    <t>From</t>
  </si>
  <si>
    <t>To</t>
  </si>
  <si>
    <t>Category</t>
  </si>
  <si>
    <t>All</t>
  </si>
  <si>
    <t>Ledger Account</t>
  </si>
  <si>
    <t>Analysis Type</t>
  </si>
  <si>
    <t>Project</t>
  </si>
  <si>
    <t>Analysis Category</t>
  </si>
  <si>
    <t>90 Lasalle Drive</t>
  </si>
  <si>
    <t>Account Number</t>
  </si>
  <si>
    <t>Ledger Name</t>
  </si>
  <si>
    <t>Opening Balance</t>
  </si>
  <si>
    <t>Total Debits this period</t>
  </si>
  <si>
    <t>Total Credits this period</t>
  </si>
  <si>
    <t>Closing Balance</t>
  </si>
  <si>
    <t>GST/HST Paid on Purchases</t>
  </si>
  <si>
    <t>Liabilities</t>
  </si>
  <si>
    <t>5000 Dr</t>
  </si>
  <si>
    <t>Windows &amp; Doors Material</t>
  </si>
  <si>
    <t>Direct Expenses</t>
  </si>
  <si>
    <t>7500 Dr</t>
  </si>
  <si>
    <t>Trim Material</t>
  </si>
  <si>
    <t>10000 Dr</t>
  </si>
  <si>
    <t>Concrete Material</t>
  </si>
  <si>
    <t>12500 Dr</t>
  </si>
  <si>
    <t>Flooring Material</t>
  </si>
  <si>
    <t>15000 Dr</t>
  </si>
  <si>
    <t>Shingles Material</t>
  </si>
  <si>
    <t>17500 Dr</t>
  </si>
  <si>
    <t>Siding Material</t>
  </si>
  <si>
    <t>20000 Dr</t>
  </si>
  <si>
    <t>Framing Material</t>
  </si>
  <si>
    <t>22500 Dr</t>
  </si>
  <si>
    <t>Drywall Material</t>
  </si>
  <si>
    <t>25000 Dr</t>
  </si>
  <si>
    <t>Lighting</t>
  </si>
  <si>
    <t>27500 Dr</t>
  </si>
  <si>
    <t>Electrical Material</t>
  </si>
  <si>
    <t>30000 Dr</t>
  </si>
  <si>
    <t>Insulation &amp; Vapour Barrier Material</t>
  </si>
  <si>
    <t>32500 Dr</t>
  </si>
  <si>
    <t>Deck Material</t>
  </si>
  <si>
    <t>35000 Dr</t>
  </si>
  <si>
    <t>Plumbing Fixtures</t>
  </si>
  <si>
    <t>37500 Dr</t>
  </si>
  <si>
    <t>Plumbing Material</t>
  </si>
  <si>
    <t>40000 Dr</t>
  </si>
  <si>
    <t>Foundation Prep Material</t>
  </si>
  <si>
    <t>42500 Dr</t>
  </si>
  <si>
    <t>Permits &amp; Surveys</t>
  </si>
  <si>
    <t>45000 Dr</t>
  </si>
  <si>
    <t>Paint &amp; Plaster</t>
  </si>
  <si>
    <t>47500 Dr</t>
  </si>
  <si>
    <t>Construction Cleaning</t>
  </si>
  <si>
    <t>50000 Dr</t>
  </si>
  <si>
    <t>Misc COGS</t>
  </si>
  <si>
    <t>52500 Dr</t>
  </si>
  <si>
    <t>Interior Doors</t>
  </si>
  <si>
    <t>Expenses</t>
  </si>
  <si>
    <t>55000 Dr</t>
  </si>
  <si>
    <t>Subcontractors - 90 Lasalle Drive</t>
  </si>
  <si>
    <t>57500 Dr</t>
  </si>
  <si>
    <t>Tools Under $500</t>
  </si>
  <si>
    <t>60000 Dr</t>
  </si>
  <si>
    <t>Utilities</t>
  </si>
  <si>
    <t>62500 Dr</t>
  </si>
  <si>
    <t>Equipment Rental</t>
  </si>
  <si>
    <t>65000 Dr</t>
  </si>
  <si>
    <t>COGS</t>
  </si>
  <si>
    <t>Subs</t>
  </si>
  <si>
    <t>Land</t>
  </si>
  <si>
    <t>Total</t>
  </si>
  <si>
    <t>HST INCL</t>
  </si>
  <si>
    <t>Temp Heat</t>
  </si>
  <si>
    <t>Overhead</t>
  </si>
  <si>
    <t>Landscaping</t>
  </si>
  <si>
    <t>Driveway</t>
  </si>
  <si>
    <t>LUX</t>
  </si>
  <si>
    <t>final clean</t>
  </si>
  <si>
    <t xml:space="preserve">legal </t>
  </si>
  <si>
    <t>Running Total</t>
  </si>
  <si>
    <t>Turn Key</t>
  </si>
  <si>
    <t>Real Estate %</t>
  </si>
  <si>
    <t>List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</si>
</sst>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&quot;$&quot;#,##0.00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166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4" numFmtId="4" xfId="0" applyFont="1" applyNumberFormat="1"/>
    <xf borderId="1" fillId="0" fontId="1" numFmtId="0" xfId="0" applyAlignment="1" applyBorder="1" applyFont="1">
      <alignment vertical="bottom"/>
    </xf>
    <xf borderId="2" fillId="2" fontId="5" numFmtId="166" xfId="0" applyAlignment="1" applyBorder="1" applyFill="1" applyFont="1" applyNumberFormat="1">
      <alignment vertical="bottom"/>
    </xf>
    <xf borderId="3" fillId="0" fontId="1" numFmtId="0" xfId="0" applyAlignment="1" applyBorder="1" applyFont="1">
      <alignment readingOrder="0" vertical="bottom"/>
    </xf>
    <xf borderId="4" fillId="0" fontId="1" numFmtId="166" xfId="0" applyAlignment="1" applyBorder="1" applyFont="1" applyNumberFormat="1">
      <alignment horizontal="right" readingOrder="0" vertical="bottom"/>
    </xf>
    <xf borderId="3" fillId="0" fontId="1" numFmtId="166" xfId="0" applyAlignment="1" applyBorder="1" applyFont="1" applyNumberFormat="1">
      <alignment vertical="bottom"/>
    </xf>
    <xf borderId="0" fillId="0" fontId="1" numFmtId="3" xfId="0" applyAlignment="1" applyFont="1" applyNumberFormat="1">
      <alignment readingOrder="0" vertical="bottom"/>
    </xf>
    <xf borderId="4" fillId="0" fontId="1" numFmtId="0" xfId="0" applyAlignment="1" applyBorder="1" applyFont="1">
      <alignment vertical="bottom"/>
    </xf>
    <xf borderId="5" fillId="0" fontId="1" numFmtId="166" xfId="0" applyAlignment="1" applyBorder="1" applyFont="1" applyNumberFormat="1">
      <alignment readingOrder="0" vertical="bottom"/>
    </xf>
    <xf borderId="6" fillId="0" fontId="1" numFmtId="166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readingOrder="0" vertical="bottom"/>
    </xf>
    <xf borderId="0" fillId="0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2">
        <v>45962.0</v>
      </c>
      <c r="C1" s="1"/>
      <c r="D1" s="1" t="s">
        <v>1</v>
      </c>
      <c r="E1" s="3">
        <v>45973.0</v>
      </c>
      <c r="F1" s="1"/>
      <c r="G1" s="1"/>
      <c r="H1" s="1"/>
    </row>
    <row r="2">
      <c r="A2" s="1" t="s">
        <v>2</v>
      </c>
      <c r="B2" s="1" t="s">
        <v>3</v>
      </c>
      <c r="C2" s="1"/>
      <c r="D2" s="1" t="s">
        <v>4</v>
      </c>
      <c r="E2" s="1" t="s">
        <v>3</v>
      </c>
      <c r="F2" s="1"/>
      <c r="G2" s="1"/>
      <c r="H2" s="1"/>
      <c r="I2" s="4"/>
      <c r="J2" s="5"/>
    </row>
    <row r="3">
      <c r="A3" s="1" t="s">
        <v>5</v>
      </c>
      <c r="B3" s="1" t="s">
        <v>6</v>
      </c>
      <c r="C3" s="1"/>
      <c r="D3" s="1" t="s">
        <v>7</v>
      </c>
      <c r="E3" s="1" t="s">
        <v>8</v>
      </c>
      <c r="F3" s="1"/>
      <c r="G3" s="1"/>
      <c r="H3" s="1"/>
      <c r="I3" s="4"/>
    </row>
    <row r="4">
      <c r="A4" s="1"/>
      <c r="B4" s="1"/>
      <c r="C4" s="1"/>
      <c r="D4" s="1"/>
      <c r="E4" s="1"/>
      <c r="F4" s="1"/>
      <c r="G4" s="1"/>
      <c r="H4" s="1"/>
    </row>
    <row r="5">
      <c r="A5" s="1" t="s">
        <v>9</v>
      </c>
      <c r="B5" s="1" t="s">
        <v>10</v>
      </c>
      <c r="C5" s="1" t="s">
        <v>2</v>
      </c>
      <c r="D5" s="1" t="s">
        <v>11</v>
      </c>
      <c r="E5" s="1" t="s">
        <v>12</v>
      </c>
      <c r="F5" s="1" t="s">
        <v>13</v>
      </c>
      <c r="G5" s="1" t="s">
        <v>14</v>
      </c>
      <c r="H5" s="6" t="s">
        <v>14</v>
      </c>
    </row>
    <row r="6">
      <c r="A6" s="7">
        <v>2310.0</v>
      </c>
      <c r="B6" s="1" t="s">
        <v>15</v>
      </c>
      <c r="C6" s="1" t="s">
        <v>16</v>
      </c>
      <c r="D6" s="8" t="s">
        <v>17</v>
      </c>
      <c r="E6" s="1"/>
      <c r="F6" s="1"/>
      <c r="G6" s="8">
        <v>5000.0</v>
      </c>
      <c r="H6" s="8">
        <v>5000.0</v>
      </c>
    </row>
    <row r="7">
      <c r="A7" s="7">
        <v>5031.0</v>
      </c>
      <c r="B7" s="1" t="s">
        <v>18</v>
      </c>
      <c r="C7" s="1" t="s">
        <v>19</v>
      </c>
      <c r="D7" s="8" t="s">
        <v>20</v>
      </c>
      <c r="E7" s="1"/>
      <c r="F7" s="1"/>
      <c r="G7" s="8">
        <v>7500.0</v>
      </c>
      <c r="H7" s="8">
        <v>7500.0</v>
      </c>
    </row>
    <row r="8">
      <c r="A8" s="7">
        <v>5032.0</v>
      </c>
      <c r="B8" s="1" t="s">
        <v>21</v>
      </c>
      <c r="C8" s="1" t="s">
        <v>19</v>
      </c>
      <c r="D8" s="8" t="s">
        <v>22</v>
      </c>
      <c r="E8" s="1"/>
      <c r="F8" s="1"/>
      <c r="G8" s="8">
        <v>10000.0</v>
      </c>
      <c r="H8" s="8">
        <v>10000.0</v>
      </c>
    </row>
    <row r="9">
      <c r="A9" s="7">
        <v>5033.0</v>
      </c>
      <c r="B9" s="1" t="s">
        <v>23</v>
      </c>
      <c r="C9" s="1" t="s">
        <v>19</v>
      </c>
      <c r="D9" s="8" t="s">
        <v>24</v>
      </c>
      <c r="E9" s="1"/>
      <c r="F9" s="1"/>
      <c r="G9" s="8">
        <v>12500.0</v>
      </c>
      <c r="H9" s="8">
        <v>12500.0</v>
      </c>
    </row>
    <row r="10">
      <c r="A10" s="7">
        <v>5034.0</v>
      </c>
      <c r="B10" s="1" t="s">
        <v>25</v>
      </c>
      <c r="C10" s="1" t="s">
        <v>19</v>
      </c>
      <c r="D10" s="8" t="s">
        <v>26</v>
      </c>
      <c r="E10" s="1"/>
      <c r="F10" s="1"/>
      <c r="G10" s="8">
        <v>15000.0</v>
      </c>
      <c r="H10" s="8">
        <v>15000.0</v>
      </c>
    </row>
    <row r="11">
      <c r="A11" s="7">
        <v>5035.0</v>
      </c>
      <c r="B11" s="1" t="s">
        <v>27</v>
      </c>
      <c r="C11" s="1" t="s">
        <v>19</v>
      </c>
      <c r="D11" s="8" t="s">
        <v>28</v>
      </c>
      <c r="E11" s="1"/>
      <c r="F11" s="1"/>
      <c r="G11" s="8">
        <v>17500.0</v>
      </c>
      <c r="H11" s="8">
        <v>17500.0</v>
      </c>
    </row>
    <row r="12">
      <c r="A12" s="7">
        <v>5036.0</v>
      </c>
      <c r="B12" s="1" t="s">
        <v>29</v>
      </c>
      <c r="C12" s="1" t="s">
        <v>19</v>
      </c>
      <c r="D12" s="8" t="s">
        <v>30</v>
      </c>
      <c r="E12" s="1"/>
      <c r="F12" s="1"/>
      <c r="G12" s="8">
        <v>20000.0</v>
      </c>
      <c r="H12" s="8">
        <v>20000.0</v>
      </c>
    </row>
    <row r="13">
      <c r="A13" s="7">
        <v>5037.0</v>
      </c>
      <c r="B13" s="1" t="s">
        <v>31</v>
      </c>
      <c r="C13" s="1" t="s">
        <v>19</v>
      </c>
      <c r="D13" s="8" t="s">
        <v>32</v>
      </c>
      <c r="E13" s="1"/>
      <c r="F13" s="1"/>
      <c r="G13" s="8">
        <v>22500.0</v>
      </c>
      <c r="H13" s="8">
        <v>22500.0</v>
      </c>
    </row>
    <row r="14">
      <c r="A14" s="7">
        <v>5038.0</v>
      </c>
      <c r="B14" s="1" t="s">
        <v>33</v>
      </c>
      <c r="C14" s="1" t="s">
        <v>19</v>
      </c>
      <c r="D14" s="8" t="s">
        <v>34</v>
      </c>
      <c r="E14" s="1"/>
      <c r="F14" s="1"/>
      <c r="G14" s="8">
        <v>25000.0</v>
      </c>
      <c r="H14" s="8">
        <v>25000.0</v>
      </c>
    </row>
    <row r="15">
      <c r="A15" s="7">
        <v>5039.0</v>
      </c>
      <c r="B15" s="1" t="s">
        <v>35</v>
      </c>
      <c r="C15" s="1" t="s">
        <v>19</v>
      </c>
      <c r="D15" s="8" t="s">
        <v>36</v>
      </c>
      <c r="E15" s="1"/>
      <c r="F15" s="1"/>
      <c r="G15" s="8">
        <v>27500.0</v>
      </c>
      <c r="H15" s="8">
        <v>27500.0</v>
      </c>
    </row>
    <row r="16">
      <c r="A16" s="7">
        <v>5040.0</v>
      </c>
      <c r="B16" s="1" t="s">
        <v>37</v>
      </c>
      <c r="C16" s="1" t="s">
        <v>19</v>
      </c>
      <c r="D16" s="8" t="s">
        <v>38</v>
      </c>
      <c r="E16" s="1"/>
      <c r="F16" s="1"/>
      <c r="G16" s="8">
        <v>30000.0</v>
      </c>
      <c r="H16" s="8">
        <v>30000.0</v>
      </c>
    </row>
    <row r="17">
      <c r="A17" s="7">
        <v>5041.0</v>
      </c>
      <c r="B17" s="1" t="s">
        <v>39</v>
      </c>
      <c r="C17" s="1" t="s">
        <v>19</v>
      </c>
      <c r="D17" s="8" t="s">
        <v>40</v>
      </c>
      <c r="E17" s="1"/>
      <c r="F17" s="1"/>
      <c r="G17" s="8">
        <v>32500.0</v>
      </c>
      <c r="H17" s="8">
        <v>32500.0</v>
      </c>
    </row>
    <row r="18">
      <c r="A18" s="7">
        <v>5042.0</v>
      </c>
      <c r="B18" s="1" t="s">
        <v>41</v>
      </c>
      <c r="C18" s="1" t="s">
        <v>19</v>
      </c>
      <c r="D18" s="8" t="s">
        <v>42</v>
      </c>
      <c r="E18" s="1"/>
      <c r="F18" s="1"/>
      <c r="G18" s="8">
        <v>35000.0</v>
      </c>
      <c r="H18" s="8">
        <v>35000.0</v>
      </c>
    </row>
    <row r="19">
      <c r="A19" s="7">
        <v>5043.0</v>
      </c>
      <c r="B19" s="1" t="s">
        <v>43</v>
      </c>
      <c r="C19" s="1" t="s">
        <v>19</v>
      </c>
      <c r="D19" s="8" t="s">
        <v>44</v>
      </c>
      <c r="E19" s="1"/>
      <c r="F19" s="1"/>
      <c r="G19" s="8">
        <v>37500.0</v>
      </c>
      <c r="H19" s="8">
        <v>37500.0</v>
      </c>
    </row>
    <row r="20">
      <c r="A20" s="7">
        <v>5044.0</v>
      </c>
      <c r="B20" s="1" t="s">
        <v>45</v>
      </c>
      <c r="C20" s="1" t="s">
        <v>19</v>
      </c>
      <c r="D20" s="8" t="s">
        <v>46</v>
      </c>
      <c r="E20" s="1"/>
      <c r="F20" s="1"/>
      <c r="G20" s="8">
        <v>40000.0</v>
      </c>
      <c r="H20" s="8">
        <v>40000.0</v>
      </c>
    </row>
    <row r="21">
      <c r="A21" s="7">
        <v>5045.0</v>
      </c>
      <c r="B21" s="1" t="s">
        <v>47</v>
      </c>
      <c r="C21" s="1" t="s">
        <v>19</v>
      </c>
      <c r="D21" s="8" t="s">
        <v>48</v>
      </c>
      <c r="E21" s="1"/>
      <c r="F21" s="1"/>
      <c r="G21" s="8">
        <v>42500.0</v>
      </c>
      <c r="H21" s="8">
        <v>42500.0</v>
      </c>
    </row>
    <row r="22">
      <c r="A22" s="7">
        <v>5046.0</v>
      </c>
      <c r="B22" s="1" t="s">
        <v>49</v>
      </c>
      <c r="C22" s="1" t="s">
        <v>19</v>
      </c>
      <c r="D22" s="8" t="s">
        <v>50</v>
      </c>
      <c r="E22" s="1"/>
      <c r="F22" s="1"/>
      <c r="G22" s="8">
        <v>45000.0</v>
      </c>
      <c r="H22" s="8">
        <v>45000.0</v>
      </c>
    </row>
    <row r="23">
      <c r="A23" s="7">
        <v>5049.0</v>
      </c>
      <c r="B23" s="1" t="s">
        <v>51</v>
      </c>
      <c r="C23" s="1" t="s">
        <v>19</v>
      </c>
      <c r="D23" s="8" t="s">
        <v>52</v>
      </c>
      <c r="E23" s="1"/>
      <c r="F23" s="1"/>
      <c r="G23" s="8">
        <v>47500.0</v>
      </c>
      <c r="H23" s="8">
        <v>47500.0</v>
      </c>
    </row>
    <row r="24">
      <c r="A24" s="7">
        <v>5050.0</v>
      </c>
      <c r="B24" s="1" t="s">
        <v>53</v>
      </c>
      <c r="C24" s="1" t="s">
        <v>19</v>
      </c>
      <c r="D24" s="8" t="s">
        <v>54</v>
      </c>
      <c r="E24" s="1"/>
      <c r="F24" s="1"/>
      <c r="G24" s="8">
        <v>50000.0</v>
      </c>
      <c r="H24" s="8">
        <v>50000.0</v>
      </c>
    </row>
    <row r="25">
      <c r="A25" s="7">
        <v>5051.0</v>
      </c>
      <c r="B25" s="1" t="s">
        <v>55</v>
      </c>
      <c r="C25" s="1" t="s">
        <v>19</v>
      </c>
      <c r="D25" s="8" t="s">
        <v>56</v>
      </c>
      <c r="E25" s="1"/>
      <c r="F25" s="1"/>
      <c r="G25" s="8">
        <v>52500.0</v>
      </c>
      <c r="H25" s="8">
        <v>52500.0</v>
      </c>
    </row>
    <row r="26">
      <c r="A26" s="7">
        <v>5052.0</v>
      </c>
      <c r="B26" s="1" t="s">
        <v>57</v>
      </c>
      <c r="C26" s="1" t="s">
        <v>58</v>
      </c>
      <c r="D26" s="8" t="s">
        <v>59</v>
      </c>
      <c r="E26" s="1"/>
      <c r="F26" s="1"/>
      <c r="G26" s="8">
        <v>55000.0</v>
      </c>
      <c r="H26" s="8">
        <v>55000.0</v>
      </c>
    </row>
    <row r="27">
      <c r="A27" s="7">
        <v>5499.0</v>
      </c>
      <c r="B27" s="1" t="s">
        <v>60</v>
      </c>
      <c r="C27" s="1" t="s">
        <v>19</v>
      </c>
      <c r="D27" s="8" t="s">
        <v>61</v>
      </c>
      <c r="E27" s="1"/>
      <c r="F27" s="1"/>
      <c r="G27" s="8">
        <v>57500.0</v>
      </c>
      <c r="H27" s="8">
        <v>57500.0</v>
      </c>
    </row>
    <row r="28">
      <c r="A28" s="7">
        <v>6075.0</v>
      </c>
      <c r="B28" s="1" t="s">
        <v>62</v>
      </c>
      <c r="C28" s="1" t="s">
        <v>58</v>
      </c>
      <c r="D28" s="8" t="s">
        <v>63</v>
      </c>
      <c r="E28" s="1"/>
      <c r="F28" s="1"/>
      <c r="G28" s="8">
        <v>60000.0</v>
      </c>
      <c r="H28" s="8">
        <v>60000.0</v>
      </c>
    </row>
    <row r="29">
      <c r="A29" s="7">
        <v>6900.0</v>
      </c>
      <c r="B29" s="1" t="s">
        <v>64</v>
      </c>
      <c r="C29" s="1" t="s">
        <v>58</v>
      </c>
      <c r="D29" s="8" t="s">
        <v>65</v>
      </c>
      <c r="E29" s="1"/>
      <c r="F29" s="1"/>
      <c r="G29" s="8">
        <v>62500.0</v>
      </c>
      <c r="H29" s="8">
        <v>62500.0</v>
      </c>
    </row>
    <row r="30">
      <c r="A30" s="7">
        <v>7450.0</v>
      </c>
      <c r="B30" s="1" t="s">
        <v>66</v>
      </c>
      <c r="C30" s="1" t="s">
        <v>58</v>
      </c>
      <c r="D30" s="8" t="s">
        <v>67</v>
      </c>
      <c r="E30" s="1"/>
      <c r="F30" s="1"/>
      <c r="G30" s="8">
        <v>65000.0</v>
      </c>
      <c r="H30" s="8">
        <v>65000.0</v>
      </c>
    </row>
    <row r="31">
      <c r="A31" s="1"/>
      <c r="B31" s="1"/>
      <c r="C31" s="1"/>
      <c r="D31" s="1"/>
      <c r="E31" s="1"/>
      <c r="F31" s="1"/>
      <c r="G31" s="9">
        <f>SUM(G3:G30)</f>
        <v>875000</v>
      </c>
      <c r="H31" s="10">
        <f>SUM(H6:H30)</f>
        <v>875000</v>
      </c>
    </row>
    <row r="33">
      <c r="D33" s="1"/>
      <c r="E33" s="11" t="s">
        <v>68</v>
      </c>
      <c r="F33" s="12">
        <f>G31-G27</f>
        <v>817500</v>
      </c>
      <c r="G33" s="1"/>
      <c r="H33" s="1"/>
    </row>
    <row r="34">
      <c r="D34" s="1"/>
      <c r="E34" s="13" t="s">
        <v>69</v>
      </c>
      <c r="F34" s="14">
        <f>G27</f>
        <v>57500</v>
      </c>
      <c r="G34" s="1"/>
      <c r="H34" s="1"/>
    </row>
    <row r="35">
      <c r="D35" s="1"/>
      <c r="E35" s="15" t="s">
        <v>70</v>
      </c>
      <c r="F35" s="14">
        <v>50000.0</v>
      </c>
      <c r="G35" s="1"/>
      <c r="H35" s="16"/>
    </row>
    <row r="36">
      <c r="D36" s="1"/>
      <c r="E36" s="15"/>
      <c r="F36" s="17"/>
      <c r="G36" s="1"/>
      <c r="H36" s="1"/>
    </row>
    <row r="37">
      <c r="D37" s="1"/>
      <c r="E37" s="18" t="s">
        <v>71</v>
      </c>
      <c r="F37" s="19">
        <f>SUM(F33:F35)</f>
        <v>925000</v>
      </c>
      <c r="G37" s="1"/>
      <c r="H37" s="20"/>
    </row>
    <row r="38">
      <c r="D38" s="1"/>
      <c r="E38" s="21"/>
      <c r="F38" s="20"/>
      <c r="G38" s="1"/>
      <c r="H38" s="20"/>
    </row>
    <row r="39">
      <c r="D39" s="1"/>
      <c r="E39" s="21"/>
      <c r="F39" s="22" t="s">
        <v>72</v>
      </c>
      <c r="G39" s="1"/>
      <c r="H39" s="20"/>
    </row>
    <row r="40">
      <c r="D40" s="1"/>
      <c r="E40" s="21" t="s">
        <v>73</v>
      </c>
      <c r="F40" s="23">
        <v>2500.0</v>
      </c>
      <c r="G40" s="20"/>
      <c r="H40" s="21"/>
    </row>
    <row r="41">
      <c r="D41" s="1"/>
      <c r="E41" s="21" t="s">
        <v>74</v>
      </c>
      <c r="F41" s="24">
        <v>3000.0</v>
      </c>
      <c r="G41" s="20"/>
      <c r="H41" s="23"/>
    </row>
    <row r="42">
      <c r="D42" s="1"/>
      <c r="E42" s="21" t="s">
        <v>75</v>
      </c>
      <c r="F42" s="24">
        <v>1000.0</v>
      </c>
      <c r="G42" s="1"/>
      <c r="H42" s="1"/>
    </row>
    <row r="43">
      <c r="D43" s="1"/>
      <c r="E43" s="21" t="s">
        <v>76</v>
      </c>
      <c r="F43" s="24">
        <v>1000.0</v>
      </c>
      <c r="G43" s="1"/>
      <c r="H43" s="1"/>
    </row>
    <row r="44">
      <c r="D44" s="1"/>
      <c r="E44" s="21" t="s">
        <v>77</v>
      </c>
      <c r="F44" s="24">
        <v>200.0</v>
      </c>
      <c r="G44" s="1"/>
      <c r="H44" s="1"/>
    </row>
    <row r="45">
      <c r="D45" s="1"/>
      <c r="E45" s="25" t="s">
        <v>78</v>
      </c>
      <c r="F45" s="22">
        <v>500.0</v>
      </c>
      <c r="G45" s="1"/>
      <c r="H45" s="1"/>
    </row>
    <row r="46">
      <c r="D46" s="1"/>
      <c r="E46" s="4" t="s">
        <v>79</v>
      </c>
      <c r="F46" s="22">
        <v>2500.0</v>
      </c>
      <c r="G46" s="1"/>
      <c r="H46" s="1"/>
    </row>
    <row r="47">
      <c r="D47" s="1"/>
      <c r="E47" s="26" t="s">
        <v>80</v>
      </c>
      <c r="F47" s="23">
        <f>SUM(F37:F46)</f>
        <v>935700</v>
      </c>
      <c r="G47" s="1"/>
      <c r="H47" s="1"/>
    </row>
    <row r="48">
      <c r="D48" s="1"/>
      <c r="E48" s="1"/>
      <c r="F48" s="1"/>
      <c r="G48" s="1"/>
      <c r="H48" s="1"/>
    </row>
    <row r="49">
      <c r="D49" s="1"/>
      <c r="E49" s="1" t="s">
        <v>81</v>
      </c>
      <c r="F49" s="24">
        <v>10000.0</v>
      </c>
      <c r="G49" s="1"/>
      <c r="H49" s="1"/>
    </row>
    <row r="50">
      <c r="D50" s="1"/>
      <c r="G50" s="1"/>
      <c r="H50" s="1"/>
      <c r="I50" s="23"/>
      <c r="J50" s="1"/>
    </row>
    <row r="51">
      <c r="D51" s="1"/>
      <c r="E51" s="4" t="s">
        <v>71</v>
      </c>
      <c r="F51" s="27">
        <f>F47+F49</f>
        <v>945700</v>
      </c>
      <c r="G51" s="1"/>
      <c r="H51" s="1"/>
      <c r="I51" s="23"/>
      <c r="J51" s="1"/>
    </row>
    <row r="52">
      <c r="D52" s="1"/>
      <c r="G52" s="1"/>
      <c r="H52" s="1"/>
      <c r="I52" s="27"/>
      <c r="J52" s="1"/>
    </row>
    <row r="53">
      <c r="E53" s="1" t="s">
        <v>82</v>
      </c>
      <c r="F53" s="23">
        <f>(F51/1.15)*0.05</f>
        <v>41117.3913</v>
      </c>
    </row>
    <row r="55">
      <c r="E55" s="6" t="s">
        <v>83</v>
      </c>
      <c r="F55" s="5">
        <f>F51+F53</f>
        <v>986817.3913</v>
      </c>
    </row>
  </sheetData>
  <drawing r:id="rId1"/>
</worksheet>
</file>