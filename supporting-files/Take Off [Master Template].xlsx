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e Off" sheetId="1" r:id="rId5"/>
    <sheet state="visible" name="Cost References" sheetId="2" r:id="rId6"/>
  </sheets>
  <definedNames>
    <definedName name="Attic">'Cost References'!$C$168:$C$170</definedName>
    <definedName name="Microwave">'Cost References'!$C$202:$C$204</definedName>
    <definedName name="WindowsDoors">'Cost References'!$C$173:$C$174</definedName>
    <definedName name="TrueFalse">'Cost References'!$D$160:$D$161</definedName>
    <definedName name="WinterMix">'Cost References'!$C$69:$C$70</definedName>
    <definedName name="RealEstateComm">'Cost References'!$D$241:$D$244</definedName>
    <definedName name="MiniSplit">'Cost References'!$C$195:$C$199</definedName>
    <definedName name="Permits">'Cost References'!$C$15:$C$17</definedName>
    <definedName name="StudWallHeight">'Cost References'!$D$93:$D$95</definedName>
    <definedName name="Electrical">'Cost References'!$C$144:$C$145</definedName>
    <definedName name="Cleaning">'Cost References'!$D$185:$D$189</definedName>
    <definedName name="Insulation">'Cost References'!$C$165:$C$168</definedName>
    <definedName name="FixedPrices">'Cost References'!$D$225:$D$230</definedName>
    <definedName name="ShowerType">'Cost References'!$C$233:$C$239</definedName>
    <definedName name="Cabinets">'Cost References'!$D$108:$D$121</definedName>
    <definedName name="ConcreteWalls">'Cost References'!$B$74:$B$76</definedName>
    <definedName name="Profit">'Cost References'!$D$207:$D$222</definedName>
    <definedName name="CUBICMETERSLAB">LAMBDA(('Take Off'!$D$53*0.09290304*0.1016))</definedName>
    <definedName name="CUBICMETERFOUNDATION">LAMBDA(('Take Off'!$C$56/3.28*0.203*'Take Off'!$D$56/3.28))</definedName>
    <definedName name="CUBICMETERFOOTING">LAMBDA(('Take Off'!$C$53/3.28*0.5*0.25))</definedName>
    <definedName name="DRYWALL_SQFT">LAMBDA(CEILING_SQFT()+WALL_SQFT())</definedName>
    <definedName name="WALL_SQFT">LAMBDA('Cost References'!$D$6*('Cost References'!$D$4+1)*8)</definedName>
    <definedName name="LINEAR_FOOTAGE">LAMBDA(('Cost References'!$D$2*2)+('Cost References'!$D$3*2))</definedName>
    <definedName name="CEILING_SQFT">LAMBDA(('Cost References'!$D$2*'Cost References'!$D$3)*('Cost References'!$D$4+1))</definedName>
  </definedNames>
  <calcPr/>
</workbook>
</file>

<file path=xl/sharedStrings.xml><?xml version="1.0" encoding="utf-8"?>
<sst xmlns="http://schemas.openxmlformats.org/spreadsheetml/2006/main" count="350" uniqueCount="261">
  <si>
    <t>Kestrel Developments - Estimate Form</t>
  </si>
  <si>
    <t>Client</t>
  </si>
  <si>
    <t>----</t>
  </si>
  <si>
    <t>Date:</t>
  </si>
  <si>
    <t>Location:</t>
  </si>
  <si>
    <t>XXX</t>
  </si>
  <si>
    <t>Agent:</t>
  </si>
  <si>
    <t>Service</t>
  </si>
  <si>
    <t>Subtotal</t>
  </si>
  <si>
    <t>HST</t>
  </si>
  <si>
    <t>Item total</t>
  </si>
  <si>
    <t>Running Total</t>
  </si>
  <si>
    <t>Soft Costs</t>
  </si>
  <si>
    <t>Overhead</t>
  </si>
  <si>
    <t>Lot Price</t>
  </si>
  <si>
    <t>Amount</t>
  </si>
  <si>
    <t>Material Cost</t>
  </si>
  <si>
    <t>Labour Costs</t>
  </si>
  <si>
    <t>Financing per house</t>
  </si>
  <si>
    <t>Carried by subs</t>
  </si>
  <si>
    <t>Engineering</t>
  </si>
  <si>
    <t>Total Financing (with carried items)</t>
  </si>
  <si>
    <t>Surveys</t>
  </si>
  <si>
    <t>Legal</t>
  </si>
  <si>
    <t>Permits</t>
  </si>
  <si>
    <t>Choose City</t>
  </si>
  <si>
    <t>St. John's</t>
  </si>
  <si>
    <t>Blueprints</t>
  </si>
  <si>
    <t>Construction Costs</t>
  </si>
  <si>
    <t>Lot Prep</t>
  </si>
  <si>
    <t>Excavation</t>
  </si>
  <si>
    <t>Included in Lot Price</t>
  </si>
  <si>
    <t>Well</t>
  </si>
  <si>
    <t>Choose</t>
  </si>
  <si>
    <t>Septic</t>
  </si>
  <si>
    <t>Rock Busting</t>
  </si>
  <si>
    <t>Fill</t>
  </si>
  <si>
    <t>Stone</t>
  </si>
  <si>
    <t>Concrete</t>
  </si>
  <si>
    <t>Material</t>
  </si>
  <si>
    <t>Footing Lin Ft</t>
  </si>
  <si>
    <t>Bsmt Floor Sq ft</t>
  </si>
  <si>
    <t>Winter Mix</t>
  </si>
  <si>
    <t>No</t>
  </si>
  <si>
    <t>Wall Lin Ft</t>
  </si>
  <si>
    <t>Wall Height</t>
  </si>
  <si>
    <t>Garage</t>
  </si>
  <si>
    <t>*update the cost reference for winter mix</t>
  </si>
  <si>
    <t>* add 4ft wall to wall height options</t>
  </si>
  <si>
    <t>Footing Labour</t>
  </si>
  <si>
    <t>Linear Feet</t>
  </si>
  <si>
    <t xml:space="preserve">Concrete Walls </t>
  </si>
  <si>
    <t>Labour</t>
  </si>
  <si>
    <t xml:space="preserve">Concrete Floor </t>
  </si>
  <si>
    <t>Finish Labour</t>
  </si>
  <si>
    <t>Square Feet</t>
  </si>
  <si>
    <t>Misc.</t>
  </si>
  <si>
    <t xml:space="preserve">Foundation </t>
  </si>
  <si>
    <t>Coating</t>
  </si>
  <si>
    <t>Building Materials</t>
  </si>
  <si>
    <t xml:space="preserve">Bennetts HH </t>
  </si>
  <si>
    <t>Takeoff</t>
  </si>
  <si>
    <t>Trusses and floor</t>
  </si>
  <si>
    <t>Included with BHH</t>
  </si>
  <si>
    <t>None</t>
  </si>
  <si>
    <t>*add option for yes/no here</t>
  </si>
  <si>
    <t>Windows</t>
  </si>
  <si>
    <t xml:space="preserve"> &amp; Doors</t>
  </si>
  <si>
    <t>Enter Amount</t>
  </si>
  <si>
    <t>Window Type</t>
  </si>
  <si>
    <t>Foundation Insulation</t>
  </si>
  <si>
    <t>Subtrades (Supply &amp; Install)</t>
  </si>
  <si>
    <t>Plumbing</t>
  </si>
  <si>
    <t># of Bathrooms</t>
  </si>
  <si>
    <t>Siding &amp; Labour</t>
  </si>
  <si>
    <t>Boxes of siding</t>
  </si>
  <si>
    <t>Electrical</t>
  </si>
  <si>
    <t>Sq. Footage</t>
  </si>
  <si>
    <t xml:space="preserve">Bsmt Sq Ft </t>
  </si>
  <si>
    <t>Dwelling Type</t>
  </si>
  <si>
    <t>Two-Apartment</t>
  </si>
  <si>
    <t xml:space="preserve">Paint &amp; </t>
  </si>
  <si>
    <t>Plastering</t>
  </si>
  <si>
    <t>Cabinets</t>
  </si>
  <si>
    <t>Allowance</t>
  </si>
  <si>
    <t>Flooring</t>
  </si>
  <si>
    <t>Floor Allow.</t>
  </si>
  <si>
    <t>Floor Labour</t>
  </si>
  <si>
    <t>Underlay # Sheets</t>
  </si>
  <si>
    <t>Rails/Spindles</t>
  </si>
  <si>
    <t>Hardwood Stairs</t>
  </si>
  <si>
    <t>HVAC</t>
  </si>
  <si>
    <t>Secondary Heat</t>
  </si>
  <si>
    <t>Microwave?</t>
  </si>
  <si>
    <t>*Bennetts included 2 range hoods</t>
  </si>
  <si>
    <t>Tile</t>
  </si>
  <si>
    <t>Material Price</t>
  </si>
  <si>
    <t>Sq ft</t>
  </si>
  <si>
    <t>Labour Only</t>
  </si>
  <si>
    <t>Front Deck</t>
  </si>
  <si>
    <t>Rear Deck</t>
  </si>
  <si>
    <t>Framing</t>
  </si>
  <si>
    <t xml:space="preserve">House </t>
  </si>
  <si>
    <t xml:space="preserve">Bsmt </t>
  </si>
  <si>
    <t>Framing sq ft</t>
  </si>
  <si>
    <t>Shingles</t>
  </si>
  <si>
    <t># of Bundles</t>
  </si>
  <si>
    <t>Insulation/VB</t>
  </si>
  <si>
    <t>Walls</t>
  </si>
  <si>
    <t>Install batts/VB</t>
  </si>
  <si>
    <t>*change sqft formula if different wall height than standard 8'</t>
  </si>
  <si>
    <t>Ceiling</t>
  </si>
  <si>
    <t>Attic Insulation</t>
  </si>
  <si>
    <t>R50</t>
  </si>
  <si>
    <t>VB + Attic(R50)</t>
  </si>
  <si>
    <t>Gyproc</t>
  </si>
  <si>
    <t>*revisit formula if unfinished basement</t>
  </si>
  <si>
    <t>Trim</t>
  </si>
  <si>
    <t># Of Openings</t>
  </si>
  <si>
    <t>Baseboard linear ft</t>
  </si>
  <si>
    <t>*input baseboard footage &amp; window openings</t>
  </si>
  <si>
    <t>Interior Finishes (material only)</t>
  </si>
  <si>
    <t>Lights</t>
  </si>
  <si>
    <t># Pot Lights</t>
  </si>
  <si>
    <t>Kitchen Sink/Fixtures</t>
  </si>
  <si>
    <t>Single-Family</t>
  </si>
  <si>
    <t>Bathroom Fixtures</t>
  </si>
  <si>
    <t>Powder Room</t>
  </si>
  <si>
    <t>Ensuite Shower Type</t>
  </si>
  <si>
    <t>Tile Wall + Arcylic Base</t>
  </si>
  <si>
    <t>*labour for shower/tub in plumbing price, tile install price included in this line item</t>
  </si>
  <si>
    <t>Main Shower Type</t>
  </si>
  <si>
    <t>Tub Surround</t>
  </si>
  <si>
    <t>Apartment Shower Type</t>
  </si>
  <si>
    <t>Landscaping Finishes</t>
  </si>
  <si>
    <t>Full Landscaping</t>
  </si>
  <si>
    <t>Driveway</t>
  </si>
  <si>
    <t>Window Wells</t>
  </si>
  <si>
    <t>Unforseen Labour</t>
  </si>
  <si>
    <t>Labour Amt</t>
  </si>
  <si>
    <t>Cleaning</t>
  </si>
  <si>
    <t>Garbage</t>
  </si>
  <si>
    <t>Closet Shelves</t>
  </si>
  <si>
    <t>LUX Warranty</t>
  </si>
  <si>
    <t>Temp. Heat</t>
  </si>
  <si>
    <t>Miscellaneous</t>
  </si>
  <si>
    <t>*Boom Lift*</t>
  </si>
  <si>
    <t>Turn Key</t>
  </si>
  <si>
    <t>Profit</t>
  </si>
  <si>
    <t>RealEstate</t>
  </si>
  <si>
    <t xml:space="preserve"> Comm.</t>
  </si>
  <si>
    <t>Land Included?</t>
  </si>
  <si>
    <t>Percentage</t>
  </si>
  <si>
    <t>Total</t>
  </si>
  <si>
    <t>House Measurement Multipliers</t>
  </si>
  <si>
    <t>width(ft)</t>
  </si>
  <si>
    <t>Fill in quantities</t>
  </si>
  <si>
    <t>length(ft)</t>
  </si>
  <si>
    <t>storeys</t>
  </si>
  <si>
    <t>VB ceiling sqft</t>
  </si>
  <si>
    <t>linear footage</t>
  </si>
  <si>
    <t>wall sqft</t>
  </si>
  <si>
    <t>*change this formula to read wall height if different that 8'walls</t>
  </si>
  <si>
    <t>drywall sqft</t>
  </si>
  <si>
    <t>Tax</t>
  </si>
  <si>
    <t xml:space="preserve">Rate </t>
  </si>
  <si>
    <t>$9 per $1000 up to $100,000 &amp; $7.20 per $1000 above $100,000</t>
  </si>
  <si>
    <t>Paradise</t>
  </si>
  <si>
    <t>Mount Pearl</t>
  </si>
  <si>
    <t>Financing Interest Charges</t>
  </si>
  <si>
    <t>Drilling per ft</t>
  </si>
  <si>
    <t>Casing per ft</t>
  </si>
  <si>
    <t>Drive shoe</t>
  </si>
  <si>
    <t>Well cap</t>
  </si>
  <si>
    <t>Well Depths(ft)</t>
  </si>
  <si>
    <t>Based on 50' from dwelling</t>
  </si>
  <si>
    <t>Pump Systems</t>
  </si>
  <si>
    <t>300'</t>
  </si>
  <si>
    <t>500'</t>
  </si>
  <si>
    <t>Traditional</t>
  </si>
  <si>
    <t>Class B</t>
  </si>
  <si>
    <t>Per hour rate</t>
  </si>
  <si>
    <t>Pump Truck</t>
  </si>
  <si>
    <t>Per m3 w/ pumper</t>
  </si>
  <si>
    <t>Yes</t>
  </si>
  <si>
    <t>Foundation Walls</t>
  </si>
  <si>
    <t>Wall Height(ft)</t>
  </si>
  <si>
    <t>Per linear foot</t>
  </si>
  <si>
    <t>Slab</t>
  </si>
  <si>
    <t>ian whiteway</t>
  </si>
  <si>
    <t>Finishing per sqft</t>
  </si>
  <si>
    <t>Footings</t>
  </si>
  <si>
    <t>per hour</t>
  </si>
  <si>
    <t>Footing per sqft</t>
  </si>
  <si>
    <t>labour per sqft</t>
  </si>
  <si>
    <t>Rate per sqft</t>
  </si>
  <si>
    <t>Wall Heights</t>
  </si>
  <si>
    <t>House</t>
  </si>
  <si>
    <t>Basement</t>
  </si>
  <si>
    <t>Fixed Rate</t>
  </si>
  <si>
    <t>Estimate Multiplier per ft</t>
  </si>
  <si>
    <t>Bathroom</t>
  </si>
  <si>
    <t>Labour Expense</t>
  </si>
  <si>
    <t>Shower Fixtures</t>
  </si>
  <si>
    <t>Faucet</t>
  </si>
  <si>
    <t>Toilet</t>
  </si>
  <si>
    <t>Vanity(36")</t>
  </si>
  <si>
    <t>Shower Head</t>
  </si>
  <si>
    <t>Bathroom Type</t>
  </si>
  <si>
    <t>All Tile</t>
  </si>
  <si>
    <t>Tile Wall + Tub Base</t>
  </si>
  <si>
    <t>Shower Surround</t>
  </si>
  <si>
    <t>per/sq ft</t>
  </si>
  <si>
    <t>Paint &amp; Plaster</t>
  </si>
  <si>
    <t>paint per sqft</t>
  </si>
  <si>
    <t>prime per sqft</t>
  </si>
  <si>
    <t>plaster per sqft</t>
  </si>
  <si>
    <t>Price per 100 sqft(3 bundles)</t>
  </si>
  <si>
    <t>*this is price per 3 bundles of installed shingles</t>
  </si>
  <si>
    <t>flashing install per ft</t>
  </si>
  <si>
    <t>yes/no</t>
  </si>
  <si>
    <t>yes</t>
  </si>
  <si>
    <t>no</t>
  </si>
  <si>
    <t>Insulation</t>
  </si>
  <si>
    <t>Install Batts</t>
  </si>
  <si>
    <t>VB for walls</t>
  </si>
  <si>
    <t>VB for ceiling</t>
  </si>
  <si>
    <t>Attic(R50)</t>
  </si>
  <si>
    <t>Windows &amp; Doors</t>
  </si>
  <si>
    <t>Low E</t>
  </si>
  <si>
    <t>Gyproc (install only)</t>
  </si>
  <si>
    <t>Price of foot for 4x8 sheet</t>
  </si>
  <si>
    <t>Price of foot for 4x9 Sheet</t>
  </si>
  <si>
    <t>per ft</t>
  </si>
  <si>
    <t>Crown</t>
  </si>
  <si>
    <t>Baseboard/Window/Door</t>
  </si>
  <si>
    <t>per window</t>
  </si>
  <si>
    <t>Window Boxes</t>
  </si>
  <si>
    <t>allowance</t>
  </si>
  <si>
    <t>Air Exchanger + HRV</t>
  </si>
  <si>
    <t xml:space="preserve"> standard rate</t>
  </si>
  <si>
    <t>Mini Splits</t>
  </si>
  <si>
    <t>Single</t>
  </si>
  <si>
    <t>Dual</t>
  </si>
  <si>
    <t>Triple</t>
  </si>
  <si>
    <t>Heat Pump</t>
  </si>
  <si>
    <t>Microwave</t>
  </si>
  <si>
    <t>Range Hood</t>
  </si>
  <si>
    <t>Vented Microwave combo</t>
  </si>
  <si>
    <t>Temp Heat/Labour</t>
  </si>
  <si>
    <t>Shower Type</t>
  </si>
  <si>
    <t>Real Estate Commission</t>
  </si>
  <si>
    <t>Install per sqft</t>
  </si>
  <si>
    <t>Rigid Insulation</t>
  </si>
  <si>
    <t>Price per sheet (SM rigid insulation)</t>
  </si>
  <si>
    <t>Price per sheet (CM type 2)</t>
  </si>
  <si>
    <t>Siding</t>
  </si>
  <si>
    <t>per square</t>
  </si>
  <si>
    <t>Kitchen Allowance</t>
  </si>
  <si>
    <t>Fixtures</t>
  </si>
  <si>
    <t>Sink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</si>
</sst>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mmmm&quot; &quot;d&quot;, &quot;yyyy"/>
    <numFmt numFmtId="166" formatCode="&quot;$&quot;#,##0.00"/>
  </numFmts>
  <fonts count="19"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12.0"/>
      <color theme="1"/>
      <name val="Calibri"/>
    </font>
    <font>
      <b/>
      <color theme="1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b/>
      <color theme="1"/>
      <name val="Calibri"/>
    </font>
    <font>
      <color theme="1"/>
      <name val="Arial"/>
    </font>
    <font>
      <color theme="1"/>
      <name val="Calibri"/>
    </font>
    <font>
      <b/>
      <sz val="11.0"/>
      <color theme="1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u/>
      <sz val="11.0"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CC99"/>
        <bgColor rgb="FFFFCC99"/>
      </patternFill>
    </fill>
    <fill>
      <patternFill patternType="solid">
        <fgColor rgb="FFCFE2F3"/>
        <bgColor rgb="FFCFE2F3"/>
      </patternFill>
    </fill>
  </fills>
  <borders count="4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93C47D"/>
      </left>
      <right style="medium">
        <color rgb="FF93C47D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93C47D"/>
      </left>
      <right style="medium">
        <color rgb="FF93C47D"/>
      </right>
      <bottom style="medium">
        <color rgb="FF93C47D"/>
      </bottom>
    </border>
    <border>
      <left style="medium">
        <color rgb="FF000000"/>
      </left>
      <bottom style="thin">
        <color rgb="FF000000"/>
      </bottom>
    </border>
    <border>
      <left style="medium">
        <color rgb="FF9BBB59"/>
      </left>
      <right style="medium">
        <color rgb="FF9BBB59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9BBB59"/>
      </left>
      <right style="medium">
        <color rgb="FF9BBB59"/>
      </right>
      <bottom style="medium">
        <color rgb="FF9BBB5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5" fillId="0" fontId="3" numFmtId="0" xfId="0" applyAlignment="1" applyBorder="1" applyFont="1">
      <alignment horizontal="left" readingOrder="0" shrinkToFit="0" vertical="bottom" wrapText="0"/>
    </xf>
    <xf borderId="6" fillId="0" fontId="2" numFmtId="0" xfId="0" applyBorder="1" applyFont="1"/>
    <xf borderId="7" fillId="0" fontId="2" numFmtId="0" xfId="0" applyBorder="1" applyFont="1"/>
    <xf borderId="0" fillId="0" fontId="4" numFmtId="164" xfId="0" applyAlignment="1" applyFont="1" applyNumberForma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8" fillId="0" fontId="3" numFmtId="165" xfId="0" applyAlignment="1" applyBorder="1" applyFont="1" applyNumberFormat="1">
      <alignment horizontal="left" readingOrder="0" shrinkToFit="0" vertical="bottom" wrapText="0"/>
    </xf>
    <xf borderId="1" fillId="0" fontId="3" numFmtId="165" xfId="0" applyAlignment="1" applyBorder="1" applyFont="1" applyNumberFormat="1">
      <alignment horizontal="left" readingOrder="0" shrinkToFit="0" vertical="bottom" wrapText="0"/>
    </xf>
    <xf borderId="0" fillId="0" fontId="5" numFmtId="164" xfId="0" applyAlignment="1" applyFont="1" applyNumberFormat="1">
      <alignment horizontal="left" shrinkToFit="0" vertical="bottom" wrapText="0"/>
    </xf>
    <xf borderId="8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9" fillId="3" fontId="3" numFmtId="0" xfId="0" applyAlignment="1" applyBorder="1" applyFill="1" applyFont="1">
      <alignment horizontal="center" shrinkToFit="0" vertical="center" wrapText="0"/>
    </xf>
    <xf borderId="10" fillId="4" fontId="3" numFmtId="0" xfId="0" applyAlignment="1" applyBorder="1" applyFill="1" applyFont="1">
      <alignment horizontal="center" shrinkToFit="0" vertical="bottom" wrapText="0"/>
    </xf>
    <xf borderId="11" fillId="4" fontId="3" numFmtId="0" xfId="0" applyAlignment="1" applyBorder="1" applyFont="1">
      <alignment horizontal="center" shrinkToFit="0" vertical="bottom" wrapText="0"/>
    </xf>
    <xf borderId="11" fillId="3" fontId="3" numFmtId="164" xfId="0" applyAlignment="1" applyBorder="1" applyFont="1" applyNumberFormat="1">
      <alignment horizontal="center" shrinkToFit="0" vertical="bottom" wrapText="0"/>
    </xf>
    <xf borderId="11" fillId="5" fontId="3" numFmtId="164" xfId="0" applyAlignment="1" applyBorder="1" applyFill="1" applyFont="1" applyNumberFormat="1">
      <alignment horizontal="left" shrinkToFit="0" vertical="bottom" wrapText="0"/>
    </xf>
    <xf borderId="11" fillId="3" fontId="3" numFmtId="164" xfId="0" applyAlignment="1" applyBorder="1" applyFont="1" applyNumberFormat="1">
      <alignment horizontal="left" shrinkToFit="0" vertical="bottom" wrapText="0"/>
    </xf>
    <xf borderId="12" fillId="3" fontId="6" numFmtId="164" xfId="0" applyAlignment="1" applyBorder="1" applyFont="1" applyNumberFormat="1">
      <alignment horizontal="left" shrinkToFit="0" vertical="bottom" wrapText="0"/>
    </xf>
    <xf borderId="5" fillId="2" fontId="7" numFmtId="0" xfId="0" applyAlignment="1" applyBorder="1" applyFont="1">
      <alignment horizontal="center" readingOrder="0" vertical="bottom"/>
    </xf>
    <xf borderId="13" fillId="2" fontId="8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shrinkToFit="0" vertical="top" wrapText="0"/>
    </xf>
    <xf borderId="15" fillId="0" fontId="3" numFmtId="0" xfId="0" applyAlignment="1" applyBorder="1" applyFont="1">
      <alignment horizontal="center" shrinkToFit="0" vertical="bottom" wrapText="0"/>
    </xf>
    <xf borderId="15" fillId="0" fontId="3" numFmtId="164" xfId="0" applyAlignment="1" applyBorder="1" applyFont="1" applyNumberFormat="1">
      <alignment horizontal="center" shrinkToFit="0" vertical="bottom" wrapText="0"/>
    </xf>
    <xf borderId="15" fillId="0" fontId="3" numFmtId="164" xfId="0" applyAlignment="1" applyBorder="1" applyFont="1" applyNumberFormat="1">
      <alignment horizontal="left" shrinkToFit="0" vertical="bottom" wrapText="0"/>
    </xf>
    <xf borderId="16" fillId="0" fontId="6" numFmtId="164" xfId="0" applyAlignment="1" applyBorder="1" applyFont="1" applyNumberFormat="1">
      <alignment horizontal="left" shrinkToFit="0" vertical="bottom" wrapText="0"/>
    </xf>
    <xf borderId="13" fillId="0" fontId="2" numFmtId="0" xfId="0" applyBorder="1" applyFont="1"/>
    <xf borderId="17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0" fillId="6" fontId="3" numFmtId="0" xfId="0" applyAlignment="1" applyFill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18" fillId="7" fontId="3" numFmtId="164" xfId="0" applyAlignment="1" applyBorder="1" applyFill="1" applyFont="1" applyNumberFormat="1">
      <alignment horizontal="center" shrinkToFit="0" vertical="bottom" wrapText="0"/>
    </xf>
    <xf borderId="19" fillId="0" fontId="5" numFmtId="164" xfId="0" applyAlignment="1" applyBorder="1" applyFont="1" applyNumberFormat="1">
      <alignment horizontal="left" shrinkToFit="0" vertical="bottom" wrapText="0"/>
    </xf>
    <xf borderId="5" fillId="0" fontId="2" numFmtId="0" xfId="0" applyBorder="1" applyFont="1"/>
    <xf borderId="6" fillId="0" fontId="3" numFmtId="0" xfId="0" applyAlignment="1" applyBorder="1" applyFont="1">
      <alignment horizontal="center" shrinkToFit="0" vertical="bottom" wrapText="0"/>
    </xf>
    <xf borderId="6" fillId="6" fontId="4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18" fillId="7" fontId="4" numFmtId="164" xfId="0" applyAlignment="1" applyBorder="1" applyFont="1" applyNumberFormat="1">
      <alignment horizontal="center" readingOrder="0" shrinkToFit="0" vertical="bottom" wrapText="0"/>
    </xf>
    <xf borderId="6" fillId="0" fontId="4" numFmtId="164" xfId="0" applyAlignment="1" applyBorder="1" applyFont="1" applyNumberFormat="1">
      <alignment horizontal="left" shrinkToFit="0" vertical="bottom" wrapText="0"/>
    </xf>
    <xf borderId="7" fillId="0" fontId="5" numFmtId="164" xfId="0" applyAlignment="1" applyBorder="1" applyFont="1" applyNumberFormat="1">
      <alignment horizontal="left" shrinkToFit="0" vertical="bottom" wrapText="0"/>
    </xf>
    <xf borderId="20" fillId="7" fontId="9" numFmtId="164" xfId="0" applyAlignment="1" applyBorder="1" applyFont="1" applyNumberFormat="1">
      <alignment horizontal="center" shrinkToFit="0" vertical="bottom" wrapText="1"/>
    </xf>
    <xf borderId="0" fillId="0" fontId="10" numFmtId="164" xfId="0" applyFont="1" applyNumberFormat="1"/>
    <xf borderId="14" fillId="0" fontId="3" numFmtId="0" xfId="0" applyAlignment="1" applyBorder="1" applyFont="1">
      <alignment horizontal="center" readingOrder="0" shrinkToFit="0" vertical="top" wrapText="1"/>
    </xf>
    <xf borderId="0" fillId="0" fontId="3" numFmtId="164" xfId="0" applyAlignment="1" applyFont="1" applyNumberFormat="1">
      <alignment horizontal="center" readingOrder="0" shrinkToFit="0" vertical="bottom" wrapText="0"/>
    </xf>
    <xf borderId="21" fillId="7" fontId="9" numFmtId="164" xfId="0" applyAlignment="1" applyBorder="1" applyFont="1" applyNumberFormat="1">
      <alignment horizontal="center" shrinkToFit="0" vertical="bottom" wrapText="1"/>
    </xf>
    <xf borderId="18" fillId="7" fontId="3" numFmtId="0" xfId="0" applyAlignment="1" applyBorder="1" applyFont="1">
      <alignment horizontal="center" shrinkToFit="0" vertical="bottom" wrapText="0"/>
    </xf>
    <xf borderId="22" fillId="7" fontId="9" numFmtId="164" xfId="0" applyAlignment="1" applyBorder="1" applyFont="1" applyNumberFormat="1">
      <alignment horizontal="center" shrinkToFit="0" vertical="bottom" wrapText="1"/>
    </xf>
    <xf borderId="6" fillId="0" fontId="3" numFmtId="164" xfId="0" applyAlignment="1" applyBorder="1" applyFont="1" applyNumberFormat="1">
      <alignment horizontal="center" shrinkToFit="0" vertical="bottom" wrapText="0"/>
    </xf>
    <xf borderId="23" fillId="7" fontId="9" numFmtId="0" xfId="0" applyAlignment="1" applyBorder="1" applyFont="1">
      <alignment horizontal="center" readingOrder="0" shrinkToFit="0" wrapText="1"/>
    </xf>
    <xf borderId="17" fillId="0" fontId="3" numFmtId="0" xfId="0" applyAlignment="1" applyBorder="1" applyFont="1">
      <alignment horizontal="center" shrinkToFit="0" vertical="top" wrapText="1"/>
    </xf>
    <xf borderId="0" fillId="0" fontId="4" numFmtId="164" xfId="0" applyAlignment="1" applyFont="1" applyNumberFormat="1">
      <alignment horizontal="center" shrinkToFit="0" vertical="bottom" wrapText="0"/>
    </xf>
    <xf borderId="24" fillId="7" fontId="9" numFmtId="0" xfId="0" applyAlignment="1" applyBorder="1" applyFont="1">
      <alignment horizontal="center" readingOrder="0" shrinkToFit="0" wrapText="1"/>
    </xf>
    <xf borderId="0" fillId="0" fontId="4" numFmtId="164" xfId="0" applyAlignment="1" applyFont="1" applyNumberFormat="1">
      <alignment horizontal="center" readingOrder="0" shrinkToFit="0" vertical="bottom" wrapText="0"/>
    </xf>
    <xf borderId="14" fillId="0" fontId="3" numFmtId="0" xfId="0" applyAlignment="1" applyBorder="1" applyFont="1">
      <alignment horizontal="center" shrinkToFit="0" vertical="top" wrapText="1"/>
    </xf>
    <xf borderId="15" fillId="0" fontId="4" numFmtId="0" xfId="0" applyAlignment="1" applyBorder="1" applyFont="1">
      <alignment horizontal="center" shrinkToFit="0" vertical="bottom" wrapText="0"/>
    </xf>
    <xf borderId="15" fillId="0" fontId="4" numFmtId="164" xfId="0" applyAlignment="1" applyBorder="1" applyFont="1" applyNumberFormat="1">
      <alignment horizontal="center" shrinkToFit="0" vertical="bottom" wrapText="0"/>
    </xf>
    <xf borderId="15" fillId="0" fontId="4" numFmtId="164" xfId="0" applyAlignment="1" applyBorder="1" applyFont="1" applyNumberFormat="1">
      <alignment horizontal="left" shrinkToFit="0" vertical="bottom" wrapText="0"/>
    </xf>
    <xf borderId="16" fillId="0" fontId="5" numFmtId="164" xfId="0" applyAlignment="1" applyBorder="1" applyFont="1" applyNumberFormat="1">
      <alignment horizontal="left" shrinkToFit="0" vertical="bottom" wrapText="0"/>
    </xf>
    <xf borderId="18" fillId="8" fontId="3" numFmtId="0" xfId="0" applyAlignment="1" applyBorder="1" applyFill="1" applyFont="1">
      <alignment horizontal="center" shrinkToFit="0" vertical="bottom" wrapText="0"/>
    </xf>
    <xf borderId="25" fillId="8" fontId="4" numFmtId="0" xfId="0" applyAlignment="1" applyBorder="1" applyFont="1">
      <alignment horizontal="center" readingOrder="0" shrinkToFit="0" vertical="bottom" wrapText="0"/>
    </xf>
    <xf borderId="14" fillId="0" fontId="3" numFmtId="0" xfId="0" applyAlignment="1" applyBorder="1" applyFont="1">
      <alignment horizontal="center" readingOrder="0" shrinkToFit="0" vertical="top" wrapText="0"/>
    </xf>
    <xf borderId="26" fillId="0" fontId="2" numFmtId="0" xfId="0" applyBorder="1" applyFont="1"/>
    <xf borderId="6" fillId="0" fontId="4" numFmtId="164" xfId="0" applyAlignment="1" applyBorder="1" applyFont="1" applyNumberFormat="1">
      <alignment horizontal="center" readingOrder="0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15" fillId="0" fontId="3" numFmtId="0" xfId="0" applyAlignment="1" applyBorder="1" applyFont="1">
      <alignment horizontal="center" shrinkToFit="0" vertical="top" wrapText="0"/>
    </xf>
    <xf borderId="19" fillId="0" fontId="4" numFmtId="0" xfId="0" applyAlignment="1" applyBorder="1" applyFont="1">
      <alignment shrinkToFit="0" vertical="bottom" wrapText="0"/>
    </xf>
    <xf borderId="18" fillId="8" fontId="3" numFmtId="0" xfId="0" applyAlignment="1" applyBorder="1" applyFont="1">
      <alignment horizontal="center" readingOrder="0" shrinkToFit="0" vertical="bottom" wrapText="0"/>
    </xf>
    <xf borderId="7" fillId="0" fontId="4" numFmtId="164" xfId="0" applyAlignment="1" applyBorder="1" applyFont="1" applyNumberFormat="1">
      <alignment shrinkToFit="0" vertical="bottom" wrapText="0"/>
    </xf>
    <xf borderId="17" fillId="0" fontId="3" numFmtId="0" xfId="0" applyAlignment="1" applyBorder="1" applyFont="1">
      <alignment horizontal="center" shrinkToFit="0" vertical="top" wrapText="0"/>
    </xf>
    <xf borderId="18" fillId="7" fontId="3" numFmtId="164" xfId="0" applyAlignment="1" applyBorder="1" applyFont="1" applyNumberFormat="1">
      <alignment horizontal="center" readingOrder="0" shrinkToFit="0" vertical="bottom" wrapText="0"/>
    </xf>
    <xf borderId="5" fillId="0" fontId="3" numFmtId="0" xfId="0" applyAlignment="1" applyBorder="1" applyFont="1">
      <alignment horizontal="center" shrinkToFit="0" vertical="top" wrapText="0"/>
    </xf>
    <xf borderId="15" fillId="0" fontId="3" numFmtId="0" xfId="0" applyAlignment="1" applyBorder="1" applyFont="1">
      <alignment horizontal="left" shrinkToFit="0" vertical="bottom" wrapText="0"/>
    </xf>
    <xf borderId="18" fillId="7" fontId="4" numFmtId="164" xfId="0" applyAlignment="1" applyBorder="1" applyFont="1" applyNumberFormat="1">
      <alignment horizontal="center" shrinkToFit="0" vertical="bottom" wrapText="0"/>
    </xf>
    <xf borderId="15" fillId="0" fontId="3" numFmtId="0" xfId="0" applyAlignment="1" applyBorder="1" applyFont="1">
      <alignment horizontal="left" readingOrder="0" shrinkToFit="0" vertical="bottom" wrapText="0"/>
    </xf>
    <xf borderId="15" fillId="0" fontId="10" numFmtId="0" xfId="0" applyBorder="1" applyFont="1"/>
    <xf borderId="15" fillId="0" fontId="5" numFmtId="164" xfId="0" applyAlignment="1" applyBorder="1" applyFont="1" applyNumberFormat="1">
      <alignment horizontal="left" shrinkToFit="0" vertical="bottom" wrapText="0"/>
    </xf>
    <xf borderId="6" fillId="0" fontId="10" numFmtId="164" xfId="0" applyBorder="1" applyFont="1" applyNumberFormat="1"/>
    <xf borderId="14" fillId="0" fontId="3" numFmtId="0" xfId="0" applyAlignment="1" applyBorder="1" applyFont="1">
      <alignment horizontal="left" shrinkToFit="0" vertical="bottom" wrapText="0"/>
    </xf>
    <xf borderId="17" fillId="0" fontId="3" numFmtId="0" xfId="0" applyAlignment="1" applyBorder="1" applyFont="1">
      <alignment horizontal="left" shrinkToFit="0" vertical="bottom" wrapText="0"/>
    </xf>
    <xf borderId="27" fillId="0" fontId="4" numFmtId="164" xfId="0" applyAlignment="1" applyBorder="1" applyFont="1" applyNumberFormat="1">
      <alignment horizontal="left" shrinkToFit="0" vertical="bottom" wrapText="0"/>
    </xf>
    <xf borderId="28" fillId="2" fontId="3" numFmtId="0" xfId="0" applyAlignment="1" applyBorder="1" applyFont="1">
      <alignment horizontal="center" shrinkToFit="0" vertical="center" wrapText="0"/>
    </xf>
    <xf borderId="28" fillId="0" fontId="2" numFmtId="0" xfId="0" applyBorder="1" applyFont="1"/>
    <xf borderId="0" fillId="0" fontId="3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18" fillId="7" fontId="3" numFmtId="0" xfId="0" applyAlignment="1" applyBorder="1" applyFont="1">
      <alignment horizontal="center" readingOrder="0" shrinkToFit="0" vertical="bottom" wrapText="1"/>
    </xf>
    <xf borderId="18" fillId="7" fontId="4" numFmtId="0" xfId="0" applyAlignment="1" applyBorder="1" applyFont="1">
      <alignment horizontal="center" readingOrder="0" shrinkToFit="0" vertical="bottom" wrapText="0"/>
    </xf>
    <xf borderId="24" fillId="7" fontId="4" numFmtId="0" xfId="0" applyAlignment="1" applyBorder="1" applyFont="1">
      <alignment horizontal="center" readingOrder="0" shrinkToFit="0" vertical="bottom" wrapText="0"/>
    </xf>
    <xf borderId="24" fillId="8" fontId="4" numFmtId="0" xfId="0" applyAlignment="1" applyBorder="1" applyFont="1">
      <alignment horizontal="center" readingOrder="0" shrinkToFit="0" vertical="bottom" wrapText="0"/>
    </xf>
    <xf borderId="25" fillId="7" fontId="3" numFmtId="0" xfId="0" applyAlignment="1" applyBorder="1" applyFont="1">
      <alignment horizontal="left" shrinkToFit="0" vertical="bottom" wrapText="0"/>
    </xf>
    <xf borderId="25" fillId="7" fontId="3" numFmtId="0" xfId="0" applyAlignment="1" applyBorder="1" applyFont="1">
      <alignment horizontal="center" readingOrder="0" shrinkToFit="0" vertical="bottom" wrapText="0"/>
    </xf>
    <xf borderId="25" fillId="8" fontId="3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readingOrder="0"/>
    </xf>
    <xf borderId="18" fillId="8" fontId="4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6" fillId="0" fontId="4" numFmtId="164" xfId="0" applyAlignment="1" applyBorder="1" applyFont="1" applyNumberFormat="1">
      <alignment horizontal="center" shrinkToFit="0" vertical="bottom" wrapText="0"/>
    </xf>
    <xf borderId="19" fillId="0" fontId="5" numFmtId="0" xfId="0" applyAlignment="1" applyBorder="1" applyFont="1">
      <alignment shrinkToFit="0" vertical="bottom" wrapText="0"/>
    </xf>
    <xf borderId="29" fillId="7" fontId="4" numFmtId="0" xfId="0" applyAlignment="1" applyBorder="1" applyFont="1">
      <alignment horizontal="center" readingOrder="0" shrinkToFit="0" vertical="bottom" wrapText="0"/>
    </xf>
    <xf borderId="29" fillId="7" fontId="4" numFmtId="0" xfId="0" applyAlignment="1" applyBorder="1" applyFont="1">
      <alignment horizontal="center" shrinkToFit="0" vertical="bottom" wrapText="0"/>
    </xf>
    <xf borderId="30" fillId="0" fontId="2" numFmtId="0" xfId="0" applyBorder="1" applyFont="1"/>
    <xf borderId="28" fillId="2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shrinkToFit="0" vertical="bottom" wrapText="0"/>
    </xf>
    <xf borderId="14" fillId="0" fontId="3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20" fillId="7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31" fillId="7" fontId="4" numFmtId="0" xfId="0" applyAlignment="1" applyBorder="1" applyFont="1">
      <alignment horizontal="center" readingOrder="0" shrinkToFit="0" vertical="bottom" wrapText="0"/>
    </xf>
    <xf borderId="31" fillId="8" fontId="4" numFmtId="0" xfId="0" applyAlignment="1" applyBorder="1" applyFont="1">
      <alignment horizontal="center" readingOrder="0" shrinkToFit="0" vertical="bottom" wrapText="0"/>
    </xf>
    <xf borderId="17" fillId="0" fontId="3" numFmtId="0" xfId="0" applyAlignment="1" applyBorder="1" applyFont="1">
      <alignment horizontal="left" readingOrder="0" shrinkToFit="0" vertical="bottom" wrapText="1"/>
    </xf>
    <xf borderId="31" fillId="7" fontId="4" numFmtId="1" xfId="0" applyAlignment="1" applyBorder="1" applyFont="1" applyNumberFormat="1">
      <alignment horizontal="center" readingOrder="0" shrinkToFit="0" vertical="bottom" wrapText="0"/>
    </xf>
    <xf borderId="28" fillId="2" fontId="3" numFmtId="0" xfId="0" applyAlignment="1" applyBorder="1" applyFont="1">
      <alignment horizontal="center" readingOrder="0" shrinkToFit="0" vertical="center" wrapText="1"/>
    </xf>
    <xf borderId="6" fillId="0" fontId="10" numFmtId="0" xfId="0" applyBorder="1" applyFont="1"/>
    <xf borderId="18" fillId="7" fontId="4" numFmtId="0" xfId="0" applyAlignment="1" applyBorder="1" applyFont="1">
      <alignment horizontal="center" shrinkToFit="0" vertical="bottom" wrapText="0"/>
    </xf>
    <xf borderId="32" fillId="7" fontId="3" numFmtId="0" xfId="0" applyAlignment="1" applyBorder="1" applyFont="1">
      <alignment horizontal="center" shrinkToFit="0" vertical="bottom" wrapText="0"/>
    </xf>
    <xf borderId="18" fillId="7" fontId="3" numFmtId="0" xfId="0" applyAlignment="1" applyBorder="1" applyFont="1">
      <alignment horizontal="center" readingOrder="0" shrinkToFit="0" vertical="bottom" wrapText="0"/>
    </xf>
    <xf borderId="32" fillId="7" fontId="3" numFmtId="0" xfId="0" applyAlignment="1" applyBorder="1" applyFont="1">
      <alignment horizontal="center" readingOrder="0" shrinkToFit="0" vertical="bottom" wrapText="0"/>
    </xf>
    <xf borderId="18" fillId="7" fontId="3" numFmtId="1" xfId="0" applyAlignment="1" applyBorder="1" applyFont="1" applyNumberFormat="1">
      <alignment horizontal="center" readingOrder="0" shrinkToFit="0" vertical="bottom" wrapText="0"/>
    </xf>
    <xf borderId="29" fillId="7" fontId="3" numFmtId="0" xfId="0" applyAlignment="1" applyBorder="1" applyFont="1">
      <alignment horizontal="center" shrinkToFit="0" vertical="bottom" wrapText="0"/>
    </xf>
    <xf borderId="29" fillId="7" fontId="3" numFmtId="0" xfId="0" applyAlignment="1" applyBorder="1" applyFont="1">
      <alignment horizontal="center" readingOrder="0" shrinkToFit="0" vertical="bottom" wrapText="0"/>
    </xf>
    <xf borderId="18" fillId="7" fontId="3" numFmtId="166" xfId="0" applyAlignment="1" applyBorder="1" applyFont="1" applyNumberFormat="1">
      <alignment horizontal="center" readingOrder="0" shrinkToFit="0" vertical="bottom" wrapText="0"/>
    </xf>
    <xf borderId="33" fillId="0" fontId="4" numFmtId="164" xfId="0" applyAlignment="1" applyBorder="1" applyFont="1" applyNumberFormat="1">
      <alignment horizontal="left" shrinkToFit="0" vertical="bottom" wrapText="0"/>
    </xf>
    <xf borderId="20" fillId="7" fontId="3" numFmtId="164" xfId="0" applyAlignment="1" applyBorder="1" applyFont="1" applyNumberFormat="1">
      <alignment horizontal="center" shrinkToFit="0" vertical="bottom" wrapText="0"/>
    </xf>
    <xf borderId="34" fillId="7" fontId="3" numFmtId="0" xfId="0" applyAlignment="1" applyBorder="1" applyFont="1">
      <alignment horizontal="center" shrinkToFit="0" vertical="bottom" wrapText="0"/>
    </xf>
    <xf borderId="35" fillId="7" fontId="3" numFmtId="0" xfId="0" applyAlignment="1" applyBorder="1" applyFont="1">
      <alignment horizontal="center" shrinkToFit="0" vertical="bottom" wrapText="0"/>
    </xf>
    <xf borderId="17" fillId="0" fontId="3" numFmtId="0" xfId="0" applyAlignment="1" applyBorder="1" applyFont="1">
      <alignment horizontal="center" shrinkToFit="0" vertical="bottom" wrapText="0"/>
    </xf>
    <xf borderId="36" fillId="7" fontId="3" numFmtId="0" xfId="0" applyAlignment="1" applyBorder="1" applyFont="1">
      <alignment horizontal="center" shrinkToFit="0" vertical="bottom" wrapText="0"/>
    </xf>
    <xf borderId="37" fillId="7" fontId="3" numFmtId="0" xfId="0" applyAlignment="1" applyBorder="1" applyFont="1">
      <alignment horizontal="center" shrinkToFit="0" vertical="bottom" wrapText="0"/>
    </xf>
    <xf borderId="38" fillId="7" fontId="4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6" fillId="0" fontId="5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5" fillId="0" fontId="4" numFmtId="0" xfId="0" applyAlignment="1" applyBorder="1" applyFont="1">
      <alignment shrinkToFit="0" vertical="bottom" wrapText="0"/>
    </xf>
    <xf borderId="18" fillId="7" fontId="3" numFmtId="0" xfId="0" applyAlignment="1" applyBorder="1" applyFont="1">
      <alignment horizontal="center" readingOrder="0" shrinkToFit="0" vertical="center" wrapText="0"/>
    </xf>
    <xf borderId="14" fillId="0" fontId="11" numFmtId="0" xfId="0" applyAlignment="1" applyBorder="1" applyFont="1">
      <alignment vertical="bottom"/>
    </xf>
    <xf borderId="15" fillId="0" fontId="12" numFmtId="0" xfId="0" applyAlignment="1" applyBorder="1" applyFont="1">
      <alignment vertical="bottom"/>
    </xf>
    <xf borderId="16" fillId="0" fontId="12" numFmtId="0" xfId="0" applyAlignment="1" applyBorder="1" applyFont="1">
      <alignment vertical="bottom"/>
    </xf>
    <xf borderId="17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9" fillId="0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6" fillId="0" fontId="13" numFmtId="164" xfId="0" applyAlignment="1" applyBorder="1" applyFont="1" applyNumberFormat="1">
      <alignment horizontal="center" vertical="bottom"/>
    </xf>
    <xf borderId="6" fillId="0" fontId="13" numFmtId="164" xfId="0" applyAlignment="1" applyBorder="1" applyFont="1" applyNumberFormat="1">
      <alignment vertical="bottom"/>
    </xf>
    <xf borderId="7" fillId="0" fontId="5" numFmtId="164" xfId="0" applyAlignment="1" applyBorder="1" applyFont="1" applyNumberFormat="1">
      <alignment vertical="bottom"/>
    </xf>
    <xf borderId="16" fillId="0" fontId="3" numFmtId="0" xfId="0" applyAlignment="1" applyBorder="1" applyFont="1">
      <alignment horizontal="center" shrinkToFit="0" vertical="bottom" wrapText="0"/>
    </xf>
    <xf borderId="18" fillId="8" fontId="4" numFmtId="0" xfId="0" applyAlignment="1" applyBorder="1" applyFont="1">
      <alignment horizontal="center" readingOrder="0" shrinkToFit="0" vertical="bottom" wrapText="1"/>
    </xf>
    <xf borderId="18" fillId="8" fontId="3" numFmtId="0" xfId="0" applyAlignment="1" applyBorder="1" applyFont="1">
      <alignment horizontal="center" readingOrder="0" shrinkToFit="0" vertical="bottom" wrapText="1"/>
    </xf>
    <xf borderId="18" fillId="8" fontId="4" numFmtId="166" xfId="0" applyAlignment="1" applyBorder="1" applyFont="1" applyNumberFormat="1">
      <alignment horizontal="center" readingOrder="0" shrinkToFit="0" vertical="bottom" wrapText="0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2" fillId="0" fontId="4" numFmtId="164" xfId="0" applyAlignment="1" applyBorder="1" applyFont="1" applyNumberFormat="1">
      <alignment horizontal="left" readingOrder="0" shrinkToFit="0" vertical="bottom" wrapText="0"/>
    </xf>
    <xf borderId="3" fillId="0" fontId="5" numFmtId="164" xfId="0" applyAlignment="1" applyBorder="1" applyFont="1" applyNumberFormat="1">
      <alignment horizontal="left" shrinkToFit="0" vertical="bottom" wrapText="0"/>
    </xf>
    <xf borderId="17" fillId="0" fontId="3" numFmtId="0" xfId="0" applyAlignment="1" applyBorder="1" applyFont="1">
      <alignment horizontal="left" readingOrder="0" shrinkToFit="0" vertical="bottom" wrapText="0"/>
    </xf>
    <xf borderId="17" fillId="0" fontId="4" numFmtId="0" xfId="0" applyAlignment="1" applyBorder="1" applyFont="1">
      <alignment shrinkToFit="0" vertical="bottom" wrapText="0"/>
    </xf>
    <xf borderId="18" fillId="8" fontId="4" numFmtId="164" xfId="0" applyAlignment="1" applyBorder="1" applyFont="1" applyNumberFormat="1">
      <alignment horizontal="center" readingOrder="0" shrinkToFit="0" vertical="bottom" wrapText="0"/>
    </xf>
    <xf borderId="20" fillId="8" fontId="3" numFmtId="0" xfId="0" applyAlignment="1" applyBorder="1" applyFont="1">
      <alignment horizontal="center" shrinkToFit="0" vertical="bottom" wrapText="0"/>
    </xf>
    <xf borderId="35" fillId="8" fontId="3" numFmtId="0" xfId="0" applyAlignment="1" applyBorder="1" applyFont="1">
      <alignment horizontal="center" shrinkToFit="0" vertical="bottom" wrapText="0"/>
    </xf>
    <xf borderId="0" fillId="0" fontId="4" numFmtId="164" xfId="0" applyAlignment="1" applyFont="1" applyNumberFormat="1">
      <alignment shrinkToFit="0" vertical="bottom" wrapText="0"/>
    </xf>
    <xf borderId="19" fillId="0" fontId="5" numFmtId="164" xfId="0" applyAlignment="1" applyBorder="1" applyFont="1" applyNumberFormat="1">
      <alignment shrinkToFit="0" vertical="bottom" wrapText="0"/>
    </xf>
    <xf borderId="19" fillId="0" fontId="10" numFmtId="0" xfId="0" applyBorder="1" applyFont="1"/>
    <xf borderId="39" fillId="0" fontId="3" numFmtId="164" xfId="0" applyAlignment="1" applyBorder="1" applyFont="1" applyNumberFormat="1">
      <alignment horizontal="left" shrinkToFit="0" vertical="bottom" wrapText="0"/>
    </xf>
    <xf borderId="40" fillId="0" fontId="3" numFmtId="164" xfId="0" applyAlignment="1" applyBorder="1" applyFont="1" applyNumberFormat="1">
      <alignment horizontal="left" shrinkToFit="0" vertical="bottom" wrapText="0"/>
    </xf>
    <xf borderId="41" fillId="0" fontId="6" numFmtId="164" xfId="0" applyAlignment="1" applyBorder="1" applyFont="1" applyNumberFormat="1">
      <alignment horizontal="left" shrinkToFit="0" vertical="bottom" wrapText="0"/>
    </xf>
    <xf borderId="1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1"/>
    </xf>
    <xf borderId="0" fillId="9" fontId="10" numFmtId="0" xfId="0" applyAlignment="1" applyFill="1" applyFont="1">
      <alignment horizontal="center" readingOrder="0" vertical="center"/>
    </xf>
    <xf borderId="0" fillId="0" fontId="10" numFmtId="10" xfId="0" applyAlignment="1" applyFont="1" applyNumberFormat="1">
      <alignment readingOrder="0"/>
    </xf>
    <xf borderId="0" fillId="0" fontId="15" numFmtId="0" xfId="0" applyAlignment="1" applyFont="1">
      <alignment horizontal="center" shrinkToFit="0" vertical="center" wrapText="1"/>
    </xf>
    <xf borderId="0" fillId="0" fontId="15" numFmtId="164" xfId="0" applyAlignment="1" applyFont="1" applyNumberFormat="1">
      <alignment readingOrder="0" vertical="center"/>
    </xf>
    <xf borderId="0" fillId="0" fontId="15" numFmtId="0" xfId="0" applyAlignment="1" applyFont="1">
      <alignment horizontal="center" shrinkToFit="0" vertical="bottom" wrapText="0"/>
    </xf>
    <xf borderId="0" fillId="0" fontId="15" numFmtId="164" xfId="0" applyFont="1" applyNumberFormat="1"/>
    <xf borderId="0" fillId="0" fontId="10" numFmtId="166" xfId="0" applyAlignment="1" applyFont="1" applyNumberFormat="1">
      <alignment readingOrder="0"/>
    </xf>
    <xf borderId="1" fillId="0" fontId="16" numFmtId="0" xfId="0" applyAlignment="1" applyBorder="1" applyFont="1">
      <alignment horizontal="center" readingOrder="0" vertical="bottom"/>
    </xf>
    <xf borderId="0" fillId="0" fontId="15" numFmtId="164" xfId="0" applyAlignment="1" applyFont="1" applyNumberFormat="1">
      <alignment horizontal="left" shrinkToFit="0" vertical="bottom" wrapText="0"/>
    </xf>
    <xf borderId="0" fillId="0" fontId="16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/>
    </xf>
    <xf borderId="0" fillId="0" fontId="10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6" fillId="0" fontId="10" numFmtId="0" xfId="0" applyAlignment="1" applyBorder="1" applyFont="1">
      <alignment readingOrder="0"/>
    </xf>
    <xf borderId="0" fillId="0" fontId="10" numFmtId="0" xfId="0" applyAlignment="1" applyFont="1">
      <alignment horizontal="left" readingOrder="0"/>
    </xf>
    <xf borderId="0" fillId="0" fontId="9" numFmtId="0" xfId="0" applyAlignment="1" applyFont="1">
      <alignment readingOrder="0" shrinkToFit="0" vertical="bottom" wrapText="0"/>
    </xf>
    <xf borderId="0" fillId="0" fontId="15" numFmtId="164" xfId="0" applyAlignment="1" applyFont="1" applyNumberFormat="1">
      <alignment readingOrder="0"/>
    </xf>
    <xf borderId="0" fillId="0" fontId="9" numFmtId="0" xfId="0" applyAlignment="1" applyFont="1">
      <alignment shrinkToFit="0" vertical="bottom" wrapText="0"/>
    </xf>
    <xf borderId="0" fillId="0" fontId="15" numFmtId="164" xfId="0" applyAlignment="1" applyFont="1" applyNumberFormat="1">
      <alignment horizontal="left" readingOrder="0"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7" numFmtId="0" xfId="0" applyAlignment="1" applyFont="1">
      <alignment vertical="bottom"/>
    </xf>
    <xf borderId="0" fillId="0" fontId="12" numFmtId="164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5" numFmtId="164" xfId="0" applyAlignment="1" applyFont="1" applyNumberForma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1" fillId="0" fontId="18" numFmtId="0" xfId="0" applyAlignment="1" applyBorder="1" applyFont="1">
      <alignment horizontal="center" readingOrder="0"/>
    </xf>
    <xf borderId="0" fillId="0" fontId="15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readingOrder="0" vertical="center"/>
    </xf>
    <xf borderId="0" fillId="0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0" numFmtId="0" xfId="0" applyFont="1"/>
    <xf borderId="0" fillId="0" fontId="15" numFmtId="166" xfId="0" applyAlignment="1" applyFont="1" applyNumberFormat="1">
      <alignment horizontal="left" shrinkToFit="0" vertical="bottom" wrapText="0"/>
    </xf>
    <xf borderId="5" fillId="0" fontId="15" numFmtId="0" xfId="0" applyAlignment="1" applyBorder="1" applyFont="1">
      <alignment readingOrder="0" shrinkToFit="0" vertical="bottom" wrapText="0"/>
    </xf>
    <xf borderId="7" fillId="0" fontId="15" numFmtId="164" xfId="0" applyAlignment="1" applyBorder="1" applyFont="1" applyNumberFormat="1">
      <alignment readingOrder="0" shrinkToFit="0" vertical="bottom" wrapText="0"/>
    </xf>
    <xf borderId="0" fillId="0" fontId="15" numFmtId="4" xfId="0" applyAlignment="1" applyFont="1" applyNumberFormat="1">
      <alignment readingOrder="0"/>
    </xf>
    <xf borderId="0" fillId="0" fontId="15" numFmtId="4" xfId="0" applyFont="1" applyNumberFormat="1"/>
    <xf borderId="0" fillId="0" fontId="15" numFmtId="166" xfId="0" applyAlignment="1" applyFont="1" applyNumberFormat="1">
      <alignment readingOrder="0"/>
    </xf>
    <xf borderId="1" fillId="0" fontId="16" numFmtId="0" xfId="0" applyAlignment="1" applyBorder="1" applyFont="1">
      <alignment horizontal="center" vertical="bottom"/>
    </xf>
    <xf borderId="0" fillId="0" fontId="12" numFmtId="166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yes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2" max="2" width="13.63"/>
    <col customWidth="1" min="4" max="4" width="12.13"/>
    <col customWidth="1" min="5" max="5" width="14.63"/>
    <col customWidth="1" min="11" max="11" width="14.13"/>
    <col customWidth="1" min="13" max="13" width="1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/>
      <c r="C2" s="6" t="s">
        <v>2</v>
      </c>
      <c r="D2" s="7"/>
      <c r="E2" s="7"/>
      <c r="F2" s="8"/>
      <c r="G2" s="9"/>
      <c r="H2" s="9"/>
      <c r="I2" s="10"/>
    </row>
    <row r="3">
      <c r="A3" s="11" t="s">
        <v>3</v>
      </c>
      <c r="B3" s="12"/>
      <c r="C3" s="13">
        <f>TODAY()</f>
        <v>46132</v>
      </c>
      <c r="D3" s="2"/>
      <c r="E3" s="2"/>
      <c r="F3" s="3"/>
      <c r="G3" s="9"/>
      <c r="H3" s="9"/>
      <c r="I3" s="14"/>
    </row>
    <row r="4">
      <c r="A4" s="11" t="s">
        <v>4</v>
      </c>
      <c r="B4" s="15"/>
      <c r="C4" s="16" t="s">
        <v>5</v>
      </c>
      <c r="D4" s="2"/>
      <c r="E4" s="2"/>
      <c r="F4" s="3"/>
      <c r="G4" s="9"/>
      <c r="H4" s="9"/>
      <c r="I4" s="14"/>
    </row>
    <row r="5">
      <c r="A5" s="11" t="s">
        <v>6</v>
      </c>
      <c r="B5" s="11"/>
      <c r="C5" s="17"/>
      <c r="D5" s="2"/>
      <c r="E5" s="2"/>
      <c r="F5" s="3"/>
      <c r="G5" s="9"/>
      <c r="H5" s="9"/>
      <c r="I5" s="14"/>
    </row>
    <row r="6">
      <c r="A6" s="18" t="s">
        <v>7</v>
      </c>
      <c r="B6" s="19"/>
      <c r="C6" s="20"/>
      <c r="D6" s="20"/>
      <c r="E6" s="20"/>
      <c r="F6" s="21" t="s">
        <v>8</v>
      </c>
      <c r="G6" s="22" t="s">
        <v>9</v>
      </c>
      <c r="H6" s="23" t="s">
        <v>10</v>
      </c>
      <c r="I6" s="24" t="s">
        <v>11</v>
      </c>
    </row>
    <row r="7">
      <c r="A7" s="25" t="s">
        <v>12</v>
      </c>
      <c r="B7" s="7"/>
      <c r="C7" s="7"/>
      <c r="D7" s="7"/>
      <c r="E7" s="7"/>
      <c r="F7" s="7"/>
      <c r="G7" s="7"/>
      <c r="H7" s="7"/>
      <c r="I7" s="8"/>
    </row>
    <row r="8">
      <c r="A8" s="26" t="s">
        <v>13</v>
      </c>
      <c r="B8" s="27" t="s">
        <v>14</v>
      </c>
      <c r="C8" s="28"/>
      <c r="D8" s="28"/>
      <c r="E8" s="28"/>
      <c r="F8" s="29"/>
      <c r="G8" s="30"/>
      <c r="H8" s="30"/>
      <c r="I8" s="31"/>
    </row>
    <row r="9">
      <c r="A9" s="32"/>
      <c r="B9" s="33"/>
      <c r="C9" s="34"/>
      <c r="D9" s="35"/>
      <c r="E9" s="36"/>
      <c r="F9" s="37" t="s">
        <v>15</v>
      </c>
      <c r="G9" s="9"/>
      <c r="H9" s="9"/>
      <c r="I9" s="38"/>
    </row>
    <row r="10">
      <c r="A10" s="32"/>
      <c r="B10" s="39"/>
      <c r="C10" s="40"/>
      <c r="D10" s="41"/>
      <c r="E10" s="42"/>
      <c r="F10" s="43">
        <v>135000.0</v>
      </c>
      <c r="G10" s="44">
        <f>(F10+D10)*'Cost References'!D11</f>
        <v>20250</v>
      </c>
      <c r="H10" s="44">
        <f>SUM(F10:G10)</f>
        <v>155250</v>
      </c>
      <c r="I10" s="45">
        <f>H10</f>
        <v>155250</v>
      </c>
      <c r="K10" s="46" t="s">
        <v>16</v>
      </c>
      <c r="L10" s="47">
        <f>H46+H56</f>
        <v>11546.34164</v>
      </c>
    </row>
    <row r="11">
      <c r="A11" s="32"/>
      <c r="B11" s="48"/>
      <c r="C11" s="34"/>
      <c r="D11" s="10"/>
      <c r="E11" s="36"/>
      <c r="F11" s="49"/>
      <c r="G11" s="9"/>
      <c r="H11" s="9"/>
      <c r="I11" s="38"/>
      <c r="K11" s="50" t="s">
        <v>17</v>
      </c>
      <c r="L11" s="47">
        <f>H15+H17+H19+H22+H28+H59+H62+H65+H68+H82+H86+H89+H92+H95+D98+E100+H103+H106+H109+H112+H115+H118+H121+H123+H126+H129+H147+H156+H150+H169</f>
        <v>139208.199</v>
      </c>
    </row>
    <row r="12">
      <c r="A12" s="32"/>
      <c r="B12" s="33"/>
      <c r="C12" s="34"/>
      <c r="D12" s="51"/>
      <c r="E12" s="36"/>
      <c r="F12" s="10"/>
      <c r="G12" s="9"/>
      <c r="H12" s="9"/>
      <c r="I12" s="38"/>
      <c r="K12" s="52" t="s">
        <v>18</v>
      </c>
      <c r="L12" s="47">
        <f>L11+L10</f>
        <v>150754.5406</v>
      </c>
    </row>
    <row r="13">
      <c r="A13" s="32"/>
      <c r="B13" s="39"/>
      <c r="C13" s="40"/>
      <c r="D13" s="43"/>
      <c r="E13" s="42"/>
      <c r="F13" s="53"/>
      <c r="G13" s="44"/>
      <c r="H13" s="44"/>
      <c r="I13" s="45"/>
      <c r="K13" s="54" t="s">
        <v>19</v>
      </c>
      <c r="L13" s="47">
        <f>H89+H82+H103+H56+H46</f>
        <v>44206.34164</v>
      </c>
    </row>
    <row r="14">
      <c r="A14" s="32"/>
      <c r="B14" s="55" t="s">
        <v>20</v>
      </c>
      <c r="C14" s="34"/>
      <c r="D14" s="36"/>
      <c r="E14" s="36"/>
      <c r="F14" s="56"/>
      <c r="G14" s="9"/>
      <c r="H14" s="9"/>
      <c r="I14" s="38"/>
      <c r="K14" s="57" t="s">
        <v>21</v>
      </c>
      <c r="L14" s="47">
        <f>L12-L13</f>
        <v>106548.199</v>
      </c>
    </row>
    <row r="15">
      <c r="A15" s="32"/>
      <c r="B15" s="33"/>
      <c r="C15" s="34"/>
      <c r="D15" s="36"/>
      <c r="E15" s="36"/>
      <c r="F15" s="58">
        <v>1500.0</v>
      </c>
      <c r="G15" s="9"/>
      <c r="H15" s="44">
        <f>SUM(F15:G15)</f>
        <v>1500</v>
      </c>
      <c r="I15" s="38">
        <f>H15+I13</f>
        <v>1500</v>
      </c>
    </row>
    <row r="16">
      <c r="A16" s="32"/>
      <c r="B16" s="59" t="s">
        <v>22</v>
      </c>
      <c r="C16" s="28"/>
      <c r="D16" s="60"/>
      <c r="E16" s="60"/>
      <c r="F16" s="61"/>
      <c r="G16" s="62"/>
      <c r="H16" s="9"/>
      <c r="I16" s="63"/>
    </row>
    <row r="17">
      <c r="A17" s="32"/>
      <c r="B17" s="33"/>
      <c r="C17" s="34"/>
      <c r="D17" s="36"/>
      <c r="E17" s="36"/>
      <c r="F17" s="58">
        <v>850.0</v>
      </c>
      <c r="G17" s="9"/>
      <c r="H17" s="44">
        <f>SUM(F17:G17)</f>
        <v>850</v>
      </c>
      <c r="I17" s="38">
        <f>H17+I15</f>
        <v>2350</v>
      </c>
    </row>
    <row r="18">
      <c r="A18" s="32"/>
      <c r="B18" s="59" t="s">
        <v>23</v>
      </c>
      <c r="C18" s="28"/>
      <c r="D18" s="60"/>
      <c r="E18" s="60"/>
      <c r="F18" s="61"/>
      <c r="G18" s="62"/>
      <c r="H18" s="9"/>
      <c r="I18" s="63"/>
    </row>
    <row r="19">
      <c r="A19" s="32"/>
      <c r="B19" s="33"/>
      <c r="C19" s="34"/>
      <c r="D19" s="36"/>
      <c r="E19" s="36"/>
      <c r="F19" s="58">
        <v>2500.0</v>
      </c>
      <c r="G19" s="9"/>
      <c r="H19" s="44">
        <f>SUM(F19:G19)</f>
        <v>2500</v>
      </c>
      <c r="I19" s="38">
        <f>H19+I17</f>
        <v>4850</v>
      </c>
    </row>
    <row r="20">
      <c r="A20" s="32"/>
      <c r="B20" s="59" t="s">
        <v>24</v>
      </c>
      <c r="C20" s="28"/>
      <c r="D20" s="60"/>
      <c r="E20" s="60"/>
      <c r="F20" s="61"/>
      <c r="G20" s="62"/>
      <c r="H20" s="9"/>
      <c r="I20" s="63"/>
    </row>
    <row r="21">
      <c r="A21" s="32"/>
      <c r="B21" s="33"/>
      <c r="C21" s="34"/>
      <c r="D21" s="36"/>
      <c r="E21" s="64" t="s">
        <v>25</v>
      </c>
      <c r="F21" s="56"/>
      <c r="G21" s="9"/>
      <c r="H21" s="9"/>
      <c r="I21" s="38"/>
    </row>
    <row r="22">
      <c r="A22" s="32"/>
      <c r="B22" s="33"/>
      <c r="C22" s="34"/>
      <c r="D22" s="36"/>
      <c r="E22" s="65" t="s">
        <v>26</v>
      </c>
      <c r="F22" s="56">
        <f>IF(E22='Cost References'!C15,'Cost References'!D15,IF(E22='Cost References'!C16,'Cost References'!D16,IF(E22='Cost References'!C17, 'Cost References'!D17,0)))</f>
        <v>3000</v>
      </c>
      <c r="G22" s="9"/>
      <c r="H22" s="44">
        <f>SUM(F22:G22)</f>
        <v>3000</v>
      </c>
      <c r="I22" s="38">
        <f>H22+I19</f>
        <v>7850</v>
      </c>
    </row>
    <row r="23">
      <c r="A23" s="32"/>
      <c r="B23" s="66"/>
      <c r="C23" s="28"/>
      <c r="D23" s="60"/>
      <c r="E23" s="60"/>
      <c r="F23" s="61"/>
      <c r="G23" s="62"/>
      <c r="H23" s="62"/>
      <c r="I23" s="63"/>
    </row>
    <row r="24">
      <c r="A24" s="32"/>
      <c r="B24" s="39"/>
      <c r="C24" s="40"/>
      <c r="D24" s="42"/>
      <c r="E24" s="42"/>
      <c r="F24" s="58"/>
      <c r="G24" s="44"/>
      <c r="H24" s="44"/>
      <c r="I24" s="45"/>
    </row>
    <row r="25">
      <c r="A25" s="32"/>
      <c r="B25" s="66"/>
      <c r="C25" s="28"/>
      <c r="D25" s="60"/>
      <c r="E25" s="60"/>
      <c r="F25" s="61"/>
      <c r="G25" s="62"/>
      <c r="H25" s="62"/>
      <c r="I25" s="63"/>
    </row>
    <row r="26">
      <c r="A26" s="32"/>
      <c r="B26" s="39"/>
      <c r="C26" s="40"/>
      <c r="D26" s="42"/>
      <c r="E26" s="42"/>
      <c r="F26" s="58"/>
      <c r="G26" s="44"/>
      <c r="H26" s="44"/>
      <c r="I26" s="45"/>
    </row>
    <row r="27">
      <c r="A27" s="32"/>
      <c r="B27" s="27" t="s">
        <v>27</v>
      </c>
      <c r="C27" s="28"/>
      <c r="D27" s="60"/>
      <c r="E27" s="60"/>
      <c r="F27" s="61"/>
      <c r="G27" s="62"/>
      <c r="H27" s="9"/>
      <c r="I27" s="63"/>
    </row>
    <row r="28">
      <c r="A28" s="67"/>
      <c r="B28" s="33"/>
      <c r="C28" s="40"/>
      <c r="D28" s="42"/>
      <c r="E28" s="42"/>
      <c r="F28" s="68">
        <v>500.0</v>
      </c>
      <c r="G28" s="44"/>
      <c r="H28" s="44">
        <f>SUM(F28:G28)</f>
        <v>500</v>
      </c>
      <c r="I28" s="45">
        <f>I26+H28</f>
        <v>500</v>
      </c>
    </row>
    <row r="29">
      <c r="A29" s="69" t="s">
        <v>28</v>
      </c>
      <c r="B29" s="2"/>
      <c r="C29" s="2"/>
      <c r="D29" s="2"/>
      <c r="E29" s="2"/>
      <c r="F29" s="2"/>
      <c r="G29" s="2"/>
      <c r="H29" s="2"/>
      <c r="I29" s="3"/>
    </row>
    <row r="30">
      <c r="A30" s="26" t="s">
        <v>29</v>
      </c>
      <c r="B30" s="70" t="s">
        <v>30</v>
      </c>
      <c r="C30" s="34"/>
      <c r="D30" s="36"/>
      <c r="E30" s="36"/>
      <c r="F30" s="56"/>
      <c r="G30" s="9"/>
      <c r="H30" s="9"/>
      <c r="I30" s="71"/>
    </row>
    <row r="31">
      <c r="A31" s="32"/>
      <c r="C31" s="34"/>
      <c r="D31" s="36"/>
      <c r="E31" s="72" t="s">
        <v>31</v>
      </c>
      <c r="F31" s="37" t="s">
        <v>15</v>
      </c>
      <c r="G31" s="9"/>
      <c r="H31" s="9"/>
      <c r="I31" s="71"/>
    </row>
    <row r="32">
      <c r="A32" s="32"/>
      <c r="B32" s="7"/>
      <c r="C32" s="34"/>
      <c r="D32" s="36"/>
      <c r="E32" s="64"/>
      <c r="F32" s="43"/>
      <c r="G32" s="9">
        <f>F32*'Cost References'!D11</f>
        <v>0</v>
      </c>
      <c r="H32" s="9" t="str">
        <f>F32</f>
        <v/>
      </c>
      <c r="I32" s="73">
        <f>I28+H32</f>
        <v>500</v>
      </c>
    </row>
    <row r="33">
      <c r="A33" s="32"/>
      <c r="B33" s="74" t="s">
        <v>32</v>
      </c>
      <c r="C33" s="28"/>
      <c r="D33" s="60"/>
      <c r="E33" s="60"/>
      <c r="F33" s="61"/>
      <c r="G33" s="62"/>
      <c r="H33" s="62"/>
      <c r="I33" s="71"/>
    </row>
    <row r="34">
      <c r="A34" s="32"/>
      <c r="B34" s="74"/>
      <c r="C34" s="34"/>
      <c r="D34" s="36"/>
      <c r="E34" s="36"/>
      <c r="F34" s="75" t="s">
        <v>33</v>
      </c>
      <c r="G34" s="9"/>
      <c r="H34" s="9"/>
      <c r="I34" s="38"/>
    </row>
    <row r="35">
      <c r="A35" s="32"/>
      <c r="B35" s="76"/>
      <c r="C35" s="40"/>
      <c r="D35" s="42"/>
      <c r="E35" s="42"/>
      <c r="F35" s="43"/>
      <c r="G35" s="44">
        <f>F35*'Cost References'!D11</f>
        <v>0</v>
      </c>
      <c r="H35" s="44">
        <f>SUM(F35:G35)</f>
        <v>0</v>
      </c>
      <c r="I35" s="45">
        <f>H35+I32</f>
        <v>500</v>
      </c>
    </row>
    <row r="36">
      <c r="A36" s="32"/>
      <c r="B36" s="74" t="s">
        <v>34</v>
      </c>
      <c r="C36" s="34"/>
      <c r="D36" s="36"/>
      <c r="E36" s="36"/>
      <c r="F36" s="56"/>
      <c r="G36" s="9"/>
      <c r="H36" s="9"/>
      <c r="I36" s="38"/>
    </row>
    <row r="37">
      <c r="A37" s="32"/>
      <c r="B37" s="74"/>
      <c r="C37" s="34"/>
      <c r="D37" s="36"/>
      <c r="E37" s="36"/>
      <c r="F37" s="37" t="s">
        <v>15</v>
      </c>
      <c r="G37" s="9"/>
      <c r="H37" s="9"/>
      <c r="I37" s="38"/>
    </row>
    <row r="38">
      <c r="A38" s="32"/>
      <c r="B38" s="74"/>
      <c r="C38" s="34"/>
      <c r="D38" s="36"/>
      <c r="E38" s="36"/>
      <c r="F38" s="43"/>
      <c r="G38" s="9">
        <f>F38*'Cost References'!D11</f>
        <v>0</v>
      </c>
      <c r="H38" s="44">
        <f>SUM(F38:G38)</f>
        <v>0</v>
      </c>
      <c r="I38" s="38">
        <f>I35+H38</f>
        <v>500</v>
      </c>
    </row>
    <row r="39">
      <c r="A39" s="32"/>
      <c r="B39" s="66" t="s">
        <v>35</v>
      </c>
      <c r="C39" s="28"/>
      <c r="D39" s="60"/>
      <c r="E39" s="60"/>
      <c r="F39" s="61"/>
      <c r="G39" s="62"/>
      <c r="H39" s="9"/>
      <c r="I39" s="63"/>
    </row>
    <row r="40">
      <c r="A40" s="32"/>
      <c r="B40" s="34"/>
      <c r="C40" s="34"/>
      <c r="D40" s="36"/>
      <c r="E40" s="36"/>
      <c r="F40" s="37" t="s">
        <v>15</v>
      </c>
      <c r="G40" s="9"/>
      <c r="H40" s="9"/>
      <c r="I40" s="38"/>
    </row>
    <row r="41">
      <c r="A41" s="32"/>
      <c r="B41" s="34"/>
      <c r="C41" s="34"/>
      <c r="D41" s="36"/>
      <c r="E41" s="36"/>
      <c r="F41" s="43"/>
      <c r="G41" s="9">
        <f>F41*'Cost References'!D11</f>
        <v>0</v>
      </c>
      <c r="H41" s="9">
        <f>SUM(F41:G41)</f>
        <v>0</v>
      </c>
      <c r="I41" s="38">
        <f>I38+H41</f>
        <v>500</v>
      </c>
    </row>
    <row r="42">
      <c r="A42" s="32"/>
      <c r="B42" s="77" t="s">
        <v>36</v>
      </c>
      <c r="C42" s="28"/>
      <c r="D42" s="60"/>
      <c r="E42" s="60"/>
      <c r="F42" s="61"/>
      <c r="G42" s="62"/>
      <c r="H42" s="62"/>
      <c r="I42" s="63"/>
    </row>
    <row r="43">
      <c r="A43" s="32"/>
      <c r="B43" s="34"/>
      <c r="C43" s="34"/>
      <c r="D43" s="36"/>
      <c r="F43" s="37" t="s">
        <v>15</v>
      </c>
      <c r="G43" s="9"/>
      <c r="H43" s="9"/>
      <c r="I43" s="38"/>
    </row>
    <row r="44">
      <c r="A44" s="32"/>
      <c r="B44" s="34"/>
      <c r="C44" s="34"/>
      <c r="D44" s="36"/>
      <c r="F44" s="78"/>
      <c r="G44" s="9">
        <f>F44*'Cost References'!D11</f>
        <v>0</v>
      </c>
      <c r="H44" s="9">
        <f>SUM(F44:G44)</f>
        <v>0</v>
      </c>
      <c r="I44" s="38">
        <f>I41+H44</f>
        <v>500</v>
      </c>
    </row>
    <row r="45">
      <c r="A45" s="32"/>
      <c r="B45" s="79" t="s">
        <v>37</v>
      </c>
      <c r="C45" s="60"/>
      <c r="D45" s="60"/>
      <c r="E45" s="80"/>
      <c r="F45" s="37" t="s">
        <v>15</v>
      </c>
      <c r="G45" s="62"/>
      <c r="H45" s="81"/>
      <c r="I45" s="63"/>
    </row>
    <row r="46">
      <c r="A46" s="32"/>
      <c r="B46" s="34"/>
      <c r="C46" s="36"/>
      <c r="D46" s="36"/>
      <c r="F46" s="78">
        <v>1000.0</v>
      </c>
      <c r="G46" s="47">
        <f>F46*'Cost References'!D11</f>
        <v>150</v>
      </c>
      <c r="H46" s="82">
        <f>SUM(F46:G46)</f>
        <v>1150</v>
      </c>
      <c r="I46" s="38">
        <f>I44+H46</f>
        <v>1650</v>
      </c>
    </row>
    <row r="47">
      <c r="A47" s="32"/>
      <c r="B47" s="83"/>
      <c r="C47" s="28"/>
      <c r="D47" s="60"/>
      <c r="E47" s="60"/>
      <c r="F47" s="61"/>
      <c r="G47" s="62"/>
      <c r="H47" s="62"/>
      <c r="I47" s="63"/>
    </row>
    <row r="48">
      <c r="A48" s="32"/>
      <c r="B48" s="84"/>
      <c r="C48" s="34"/>
      <c r="D48" s="36"/>
      <c r="E48" s="36"/>
      <c r="F48" s="37"/>
      <c r="G48" s="9"/>
      <c r="H48" s="9"/>
      <c r="I48" s="38"/>
    </row>
    <row r="49">
      <c r="A49" s="67"/>
      <c r="B49" s="84"/>
      <c r="C49" s="34"/>
      <c r="D49" s="36"/>
      <c r="E49" s="36"/>
      <c r="F49" s="43"/>
      <c r="G49" s="85"/>
      <c r="H49" s="44"/>
      <c r="I49" s="38"/>
    </row>
    <row r="50">
      <c r="A50" s="86" t="s">
        <v>38</v>
      </c>
      <c r="B50" s="79" t="s">
        <v>38</v>
      </c>
      <c r="C50" s="28"/>
      <c r="D50" s="60"/>
      <c r="E50" s="60"/>
      <c r="F50" s="61"/>
      <c r="G50" s="62"/>
      <c r="H50" s="9"/>
      <c r="I50" s="63"/>
    </row>
    <row r="51">
      <c r="A51" s="87"/>
      <c r="B51" s="88" t="s">
        <v>39</v>
      </c>
      <c r="C51" s="89"/>
      <c r="D51" s="89"/>
      <c r="E51" s="89"/>
      <c r="F51" s="56"/>
      <c r="G51" s="9"/>
      <c r="H51" s="9"/>
      <c r="I51" s="38"/>
    </row>
    <row r="52">
      <c r="A52" s="87"/>
      <c r="B52" s="89"/>
      <c r="C52" s="51" t="s">
        <v>40</v>
      </c>
      <c r="D52" s="90" t="s">
        <v>41</v>
      </c>
      <c r="E52" s="64" t="s">
        <v>42</v>
      </c>
      <c r="F52" s="56"/>
      <c r="G52" s="9"/>
      <c r="H52" s="9"/>
      <c r="I52" s="38"/>
    </row>
    <row r="53">
      <c r="A53" s="87"/>
      <c r="B53" s="89"/>
      <c r="C53" s="91">
        <v>124.0</v>
      </c>
      <c r="D53" s="92">
        <v>1200.0</v>
      </c>
      <c r="E53" s="93" t="s">
        <v>43</v>
      </c>
      <c r="F53" s="56"/>
      <c r="G53" s="9"/>
      <c r="H53" s="9"/>
      <c r="I53" s="38"/>
    </row>
    <row r="54">
      <c r="A54" s="87"/>
      <c r="B54" s="89"/>
      <c r="C54" s="34"/>
      <c r="D54" s="36"/>
      <c r="E54" s="36"/>
      <c r="F54" s="56"/>
      <c r="G54" s="9"/>
      <c r="H54" s="9"/>
      <c r="I54" s="38"/>
    </row>
    <row r="55">
      <c r="A55" s="87"/>
      <c r="B55" s="89"/>
      <c r="C55" s="94" t="s">
        <v>44</v>
      </c>
      <c r="D55" s="95" t="s">
        <v>45</v>
      </c>
      <c r="E55" s="96" t="s">
        <v>46</v>
      </c>
      <c r="F55" s="56"/>
      <c r="G55" s="9"/>
      <c r="H55" s="9"/>
      <c r="I55" s="38"/>
      <c r="J55" s="97" t="s">
        <v>47</v>
      </c>
    </row>
    <row r="56">
      <c r="A56" s="87"/>
      <c r="B56" s="89"/>
      <c r="C56" s="91">
        <v>124.0</v>
      </c>
      <c r="D56" s="91">
        <v>8.0</v>
      </c>
      <c r="E56" s="98"/>
      <c r="F56" s="56">
        <f>(CUBICMETERFOOTING()+CUBICMETERFOUNDATION()+CUBICMETERSLAB())*'Cost References'!D67+IF(E53='Cost References'!C69,'Cost References'!D69,IF(E53='Cost References'!C70,'Cost References'!D70))</f>
        <v>9040.297078</v>
      </c>
      <c r="G56" s="9">
        <f>F56*'Cost References'!D11</f>
        <v>1356.044562</v>
      </c>
      <c r="H56" s="9">
        <f>SUM(F56:G56)</f>
        <v>10396.34164</v>
      </c>
      <c r="I56" s="38">
        <f>I49+H56</f>
        <v>10396.34164</v>
      </c>
      <c r="J56" s="97" t="s">
        <v>48</v>
      </c>
    </row>
    <row r="57">
      <c r="A57" s="87"/>
      <c r="B57" s="77" t="s">
        <v>49</v>
      </c>
      <c r="C57" s="28"/>
      <c r="D57" s="60"/>
      <c r="E57" s="60"/>
      <c r="F57" s="61"/>
      <c r="G57" s="62"/>
      <c r="H57" s="62"/>
      <c r="I57" s="63"/>
    </row>
    <row r="58">
      <c r="A58" s="87"/>
      <c r="B58" s="34"/>
      <c r="C58" s="34"/>
      <c r="D58" s="51" t="s">
        <v>50</v>
      </c>
      <c r="E58" s="36"/>
      <c r="F58" s="56"/>
      <c r="G58" s="9"/>
      <c r="H58" s="9"/>
      <c r="I58" s="38"/>
    </row>
    <row r="59">
      <c r="A59" s="87"/>
      <c r="B59" s="34"/>
      <c r="C59" s="34"/>
      <c r="D59" s="91">
        <f>'Cost References'!D6+5+5+11</f>
        <v>143</v>
      </c>
      <c r="E59" s="36"/>
      <c r="F59" s="56">
        <f>D59*'Cost References'!D83</f>
        <v>1001</v>
      </c>
      <c r="G59" s="9">
        <f>F59*'Cost References'!D11</f>
        <v>150.15</v>
      </c>
      <c r="H59" s="44">
        <f>SUM(F59:G59)</f>
        <v>1151.15</v>
      </c>
      <c r="I59" s="38">
        <f>I56+H59</f>
        <v>11547.49164</v>
      </c>
    </row>
    <row r="60">
      <c r="A60" s="87"/>
      <c r="B60" s="77" t="s">
        <v>51</v>
      </c>
      <c r="C60" s="28"/>
      <c r="D60" s="60"/>
      <c r="E60" s="60"/>
      <c r="F60" s="61"/>
      <c r="G60" s="62"/>
      <c r="H60" s="9"/>
      <c r="I60" s="63"/>
    </row>
    <row r="61">
      <c r="A61" s="87"/>
      <c r="B61" s="99" t="s">
        <v>52</v>
      </c>
      <c r="C61" s="34"/>
      <c r="D61" s="51" t="s">
        <v>50</v>
      </c>
      <c r="E61" s="64" t="s">
        <v>45</v>
      </c>
      <c r="F61" s="56"/>
      <c r="G61" s="9"/>
      <c r="H61" s="9"/>
      <c r="I61" s="38"/>
    </row>
    <row r="62">
      <c r="A62" s="87"/>
      <c r="B62" s="40"/>
      <c r="C62" s="40"/>
      <c r="D62" s="91">
        <f>'Cost References'!D6+5+5+11</f>
        <v>143</v>
      </c>
      <c r="E62" s="98">
        <v>8.0</v>
      </c>
      <c r="F62" s="100">
        <f>IF(E62='Cost References'!B74,'Cost References'!D74*D62,IF(E62='Cost References'!B75,'Cost References'!D75*D62,IF(E62='Cost References'!B76,'Cost References'!D76*D62,0)))</f>
        <v>4504.5</v>
      </c>
      <c r="G62" s="44">
        <f>F62*'Cost References'!D11</f>
        <v>675.675</v>
      </c>
      <c r="H62" s="44">
        <f>SUM(F62:G62)</f>
        <v>5180.175</v>
      </c>
      <c r="I62" s="45">
        <f>I59+H62</f>
        <v>16727.66664</v>
      </c>
    </row>
    <row r="63">
      <c r="A63" s="87"/>
      <c r="B63" s="99" t="s">
        <v>53</v>
      </c>
      <c r="C63" s="34"/>
      <c r="D63" s="36"/>
      <c r="E63" s="36"/>
      <c r="F63" s="56"/>
      <c r="G63" s="10"/>
      <c r="H63" s="9"/>
      <c r="I63" s="101"/>
    </row>
    <row r="64">
      <c r="A64" s="87"/>
      <c r="B64" s="99" t="s">
        <v>54</v>
      </c>
      <c r="C64" s="34"/>
      <c r="D64" s="51" t="s">
        <v>55</v>
      </c>
      <c r="E64" s="51" t="s">
        <v>56</v>
      </c>
      <c r="F64" s="56"/>
      <c r="G64" s="9"/>
      <c r="H64" s="9"/>
      <c r="I64" s="38"/>
    </row>
    <row r="65">
      <c r="A65" s="87"/>
      <c r="B65" s="34"/>
      <c r="C65" s="34"/>
      <c r="D65" s="102">
        <v>700.0</v>
      </c>
      <c r="E65" s="103"/>
      <c r="F65" s="56">
        <f>D65*'Cost References'!D79+E65</f>
        <v>1120</v>
      </c>
      <c r="G65" s="44">
        <f>F65*'Cost References'!D11</f>
        <v>168</v>
      </c>
      <c r="H65" s="44">
        <f>SUM(F65:G65)</f>
        <v>1288</v>
      </c>
      <c r="I65" s="38">
        <f>I62+H65</f>
        <v>18015.66664</v>
      </c>
    </row>
    <row r="66">
      <c r="A66" s="87"/>
      <c r="B66" s="77" t="s">
        <v>57</v>
      </c>
      <c r="C66" s="28"/>
      <c r="D66" s="36"/>
      <c r="E66" s="60"/>
      <c r="F66" s="61"/>
      <c r="G66" s="9"/>
      <c r="H66" s="9"/>
      <c r="I66" s="63"/>
    </row>
    <row r="67">
      <c r="A67" s="87"/>
      <c r="B67" s="99" t="s">
        <v>58</v>
      </c>
      <c r="C67" s="34"/>
      <c r="D67" s="36"/>
      <c r="E67" s="36"/>
      <c r="F67" s="37" t="s">
        <v>15</v>
      </c>
      <c r="G67" s="9"/>
      <c r="H67" s="9"/>
      <c r="I67" s="38"/>
    </row>
    <row r="68">
      <c r="A68" s="104"/>
      <c r="B68" s="40"/>
      <c r="C68" s="34"/>
      <c r="D68" s="36"/>
      <c r="E68" s="36"/>
      <c r="F68" s="78">
        <v>500.0</v>
      </c>
      <c r="G68" s="85">
        <f>F68*'Cost References'!D11</f>
        <v>75</v>
      </c>
      <c r="H68" s="44">
        <f>SUM(F68:G68)</f>
        <v>575</v>
      </c>
      <c r="I68" s="38">
        <f>I65+H68</f>
        <v>18590.66664</v>
      </c>
    </row>
    <row r="69">
      <c r="A69" s="105" t="s">
        <v>59</v>
      </c>
      <c r="B69" s="99" t="s">
        <v>60</v>
      </c>
      <c r="C69" s="28"/>
      <c r="D69" s="60"/>
      <c r="E69" s="60"/>
      <c r="F69" s="56"/>
      <c r="G69" s="62"/>
      <c r="H69" s="9"/>
      <c r="I69" s="63"/>
    </row>
    <row r="70">
      <c r="A70" s="87"/>
      <c r="B70" s="99" t="s">
        <v>61</v>
      </c>
      <c r="C70" s="34"/>
      <c r="D70" s="36"/>
      <c r="E70" s="36"/>
      <c r="F70" s="37" t="s">
        <v>15</v>
      </c>
      <c r="G70" s="9"/>
      <c r="H70" s="9"/>
      <c r="I70" s="38"/>
    </row>
    <row r="71">
      <c r="A71" s="87"/>
      <c r="B71" s="106"/>
      <c r="C71" s="40"/>
      <c r="D71" s="42"/>
      <c r="E71" s="42"/>
      <c r="F71" s="43">
        <f>31834+33004</f>
        <v>64838</v>
      </c>
      <c r="G71" s="85">
        <f>F71*'Cost References'!D11</f>
        <v>9725.7</v>
      </c>
      <c r="H71" s="44">
        <f>SUM(F71:G71)</f>
        <v>74563.7</v>
      </c>
      <c r="I71" s="45">
        <f>I68+H71</f>
        <v>93154.36664</v>
      </c>
    </row>
    <row r="72">
      <c r="A72" s="87"/>
      <c r="B72" s="107" t="s">
        <v>62</v>
      </c>
      <c r="C72" s="28"/>
      <c r="D72" s="60"/>
      <c r="E72" s="72" t="s">
        <v>63</v>
      </c>
      <c r="F72" s="37" t="s">
        <v>15</v>
      </c>
      <c r="G72" s="62"/>
      <c r="H72" s="9"/>
      <c r="I72" s="63"/>
    </row>
    <row r="73">
      <c r="A73" s="87"/>
      <c r="B73" s="84"/>
      <c r="C73" s="34"/>
      <c r="D73" s="108"/>
      <c r="E73" s="98" t="s">
        <v>64</v>
      </c>
      <c r="F73" s="43">
        <v>0.0</v>
      </c>
      <c r="G73" s="85">
        <f>F73*'Cost References'!D11</f>
        <v>0</v>
      </c>
      <c r="H73" s="44">
        <f>SUM(F73:G73)</f>
        <v>0</v>
      </c>
      <c r="I73" s="38">
        <f>I71+H73</f>
        <v>93154.36664</v>
      </c>
      <c r="J73" s="97" t="s">
        <v>65</v>
      </c>
    </row>
    <row r="74">
      <c r="A74" s="87"/>
      <c r="B74" s="83" t="s">
        <v>66</v>
      </c>
      <c r="C74" s="28"/>
      <c r="D74" s="60"/>
      <c r="E74" s="60"/>
      <c r="F74" s="56"/>
      <c r="G74" s="62"/>
      <c r="H74" s="9"/>
      <c r="I74" s="63"/>
    </row>
    <row r="75">
      <c r="A75" s="87"/>
      <c r="B75" s="84" t="s">
        <v>67</v>
      </c>
      <c r="C75" s="34"/>
      <c r="D75" s="109" t="s">
        <v>68</v>
      </c>
      <c r="E75" s="64" t="s">
        <v>69</v>
      </c>
      <c r="F75" s="56"/>
      <c r="G75" s="9"/>
      <c r="H75" s="9"/>
      <c r="I75" s="38"/>
    </row>
    <row r="76">
      <c r="A76" s="87"/>
      <c r="B76" s="110"/>
      <c r="C76" s="40"/>
      <c r="D76" s="111">
        <f>8600+1100+(2*145)</f>
        <v>9990</v>
      </c>
      <c r="E76" s="112" t="s">
        <v>64</v>
      </c>
      <c r="F76" s="68">
        <f>IF(E76='Cost References'!C173,D76*'Cost References'!D173,IF(E76='Cost References'!C174,D76*'Cost References'!D174,0))</f>
        <v>9990</v>
      </c>
      <c r="G76" s="44">
        <f>F76*'Cost References'!D11</f>
        <v>1498.5</v>
      </c>
      <c r="H76" s="44">
        <f>SUM(F76:G76)</f>
        <v>11488.5</v>
      </c>
      <c r="I76" s="45">
        <f>I73+H76</f>
        <v>104642.8666</v>
      </c>
    </row>
    <row r="77">
      <c r="A77" s="87"/>
      <c r="B77" s="113" t="s">
        <v>70</v>
      </c>
      <c r="C77" s="34"/>
      <c r="D77" s="36"/>
      <c r="E77" s="36"/>
      <c r="F77" s="56"/>
      <c r="G77" s="9"/>
      <c r="H77" s="9"/>
      <c r="I77" s="38"/>
    </row>
    <row r="78">
      <c r="A78" s="87"/>
      <c r="B78" s="84"/>
      <c r="C78" s="34"/>
      <c r="D78" s="36"/>
      <c r="E78" s="109" t="s">
        <v>68</v>
      </c>
      <c r="F78" s="56"/>
      <c r="G78" s="9"/>
      <c r="H78" s="9"/>
      <c r="I78" s="38"/>
    </row>
    <row r="79">
      <c r="A79" s="104"/>
      <c r="B79" s="84"/>
      <c r="C79" s="34"/>
      <c r="D79" s="36"/>
      <c r="E79" s="114">
        <f>('Cost References'!D6*6)/32</f>
        <v>22.875</v>
      </c>
      <c r="F79" s="58">
        <f>E79*'Cost References'!D250</f>
        <v>686.25</v>
      </c>
      <c r="G79" s="9">
        <f>F79*'Cost References'!D11</f>
        <v>102.9375</v>
      </c>
      <c r="H79" s="44">
        <f>SUM(F79:G79)</f>
        <v>789.1875</v>
      </c>
      <c r="I79" s="38">
        <f>I76+H79</f>
        <v>105432.0541</v>
      </c>
    </row>
    <row r="80">
      <c r="A80" s="115" t="s">
        <v>71</v>
      </c>
      <c r="B80" s="83" t="s">
        <v>72</v>
      </c>
      <c r="C80" s="28"/>
      <c r="D80" s="60"/>
      <c r="E80" s="60"/>
      <c r="F80" s="61"/>
      <c r="G80" s="62"/>
      <c r="H80" s="9"/>
      <c r="I80" s="63"/>
    </row>
    <row r="81">
      <c r="A81" s="87"/>
      <c r="B81" s="84"/>
      <c r="C81" s="34"/>
      <c r="D81" s="109" t="s">
        <v>73</v>
      </c>
      <c r="E81" s="109" t="s">
        <v>56</v>
      </c>
      <c r="F81" s="56"/>
      <c r="G81" s="9"/>
      <c r="H81" s="9"/>
      <c r="I81" s="38"/>
    </row>
    <row r="82">
      <c r="A82" s="87"/>
      <c r="B82" s="110"/>
      <c r="C82" s="40"/>
      <c r="D82" s="91">
        <v>4.0</v>
      </c>
      <c r="E82" s="91">
        <v>0.0</v>
      </c>
      <c r="F82" s="68">
        <v>8900.0</v>
      </c>
      <c r="G82" s="44">
        <f>F82*'Cost References'!D11</f>
        <v>1335</v>
      </c>
      <c r="H82" s="44">
        <f>SUM(F82:G82)</f>
        <v>10235</v>
      </c>
      <c r="I82" s="45">
        <f>H82+I79</f>
        <v>115667.0541</v>
      </c>
    </row>
    <row r="83">
      <c r="A83" s="87"/>
      <c r="B83" s="84" t="s">
        <v>74</v>
      </c>
      <c r="C83" s="34"/>
      <c r="D83" s="36"/>
      <c r="E83" s="36"/>
      <c r="F83" s="56"/>
      <c r="G83" s="9"/>
      <c r="H83" s="9"/>
      <c r="I83" s="38"/>
    </row>
    <row r="84">
      <c r="A84" s="87"/>
      <c r="C84" s="36"/>
      <c r="D84" s="36"/>
      <c r="E84" s="36"/>
      <c r="F84" s="56"/>
      <c r="G84" s="9"/>
      <c r="H84" s="9"/>
      <c r="I84" s="38"/>
    </row>
    <row r="85">
      <c r="A85" s="87"/>
      <c r="D85" s="51" t="s">
        <v>75</v>
      </c>
      <c r="E85" s="36"/>
      <c r="F85" s="56"/>
      <c r="G85" s="9"/>
      <c r="H85" s="9"/>
      <c r="I85" s="38"/>
    </row>
    <row r="86">
      <c r="A86" s="87"/>
      <c r="B86" s="116"/>
      <c r="C86" s="116"/>
      <c r="D86" s="117"/>
      <c r="E86" s="116"/>
      <c r="F86" s="68">
        <f>D86*2*'Cost References'!D253</f>
        <v>0</v>
      </c>
      <c r="G86" s="44">
        <f>F86*'Cost References'!D11</f>
        <v>0</v>
      </c>
      <c r="H86" s="44">
        <f>SUM(F86:G86)</f>
        <v>0</v>
      </c>
      <c r="I86" s="45">
        <f>H86+I82</f>
        <v>115667.0541</v>
      </c>
    </row>
    <row r="87">
      <c r="A87" s="87"/>
      <c r="B87" s="84" t="s">
        <v>76</v>
      </c>
      <c r="C87" s="34"/>
      <c r="D87" s="36"/>
      <c r="E87" s="36"/>
      <c r="F87" s="56"/>
      <c r="G87" s="9"/>
      <c r="H87" s="9"/>
      <c r="I87" s="38"/>
    </row>
    <row r="88">
      <c r="A88" s="87"/>
      <c r="C88" s="109" t="s">
        <v>77</v>
      </c>
      <c r="D88" s="51" t="s">
        <v>78</v>
      </c>
      <c r="E88" s="72" t="s">
        <v>79</v>
      </c>
      <c r="F88" s="56"/>
      <c r="G88" s="9"/>
      <c r="H88" s="9"/>
      <c r="I88" s="38"/>
    </row>
    <row r="89">
      <c r="A89" s="87"/>
      <c r="C89" s="91">
        <v>1200.0</v>
      </c>
      <c r="D89" s="91">
        <v>0.0</v>
      </c>
      <c r="E89" s="98" t="s">
        <v>80</v>
      </c>
      <c r="F89" s="58">
        <f>IF(E89='Cost References'!C144,'Cost References'!D144,IF(E89='Cost References'!C145,'Cost References'!D145,0))</f>
        <v>13500</v>
      </c>
      <c r="G89" s="44">
        <f>F89*'Cost References'!D11</f>
        <v>2025</v>
      </c>
      <c r="H89" s="44">
        <f>SUM(F89:G89)</f>
        <v>15525</v>
      </c>
      <c r="I89" s="45">
        <f>I86+H89</f>
        <v>131192.0541</v>
      </c>
    </row>
    <row r="90">
      <c r="A90" s="87"/>
      <c r="B90" s="83" t="s">
        <v>81</v>
      </c>
      <c r="C90" s="60"/>
      <c r="D90" s="60"/>
      <c r="E90" s="60"/>
      <c r="F90" s="61"/>
      <c r="G90" s="9"/>
      <c r="H90" s="9"/>
      <c r="I90" s="38"/>
    </row>
    <row r="91">
      <c r="A91" s="87"/>
      <c r="B91" s="84" t="s">
        <v>82</v>
      </c>
      <c r="C91" s="36"/>
      <c r="D91" s="109" t="s">
        <v>77</v>
      </c>
      <c r="E91" s="51" t="s">
        <v>56</v>
      </c>
      <c r="F91" s="56"/>
      <c r="G91" s="9"/>
      <c r="H91" s="9"/>
      <c r="I91" s="38"/>
    </row>
    <row r="92">
      <c r="A92" s="87"/>
      <c r="B92" s="84"/>
      <c r="C92" s="34"/>
      <c r="D92" s="117">
        <f>DRYWALL_SQFT()</f>
        <v>5628</v>
      </c>
      <c r="E92" s="117"/>
      <c r="F92" s="58">
        <f>D92*'Cost References'!D149</f>
        <v>11256</v>
      </c>
      <c r="G92" s="44">
        <f>F92*'Cost References'!D11</f>
        <v>1688.4</v>
      </c>
      <c r="H92" s="44">
        <f>SUM(F92:G92)</f>
        <v>12944.4</v>
      </c>
      <c r="I92" s="38">
        <f>I89+H92</f>
        <v>144136.4541</v>
      </c>
    </row>
    <row r="93">
      <c r="A93" s="87"/>
      <c r="B93" s="83" t="s">
        <v>83</v>
      </c>
      <c r="C93" s="28"/>
      <c r="D93" s="36"/>
      <c r="E93" s="36"/>
      <c r="F93" s="61"/>
      <c r="G93" s="62"/>
      <c r="H93" s="62"/>
      <c r="I93" s="63"/>
    </row>
    <row r="94">
      <c r="A94" s="87"/>
      <c r="B94" s="84"/>
      <c r="C94" s="34"/>
      <c r="D94" s="34"/>
      <c r="E94" s="72" t="s">
        <v>84</v>
      </c>
      <c r="F94" s="56"/>
      <c r="G94" s="9"/>
      <c r="H94" s="9"/>
      <c r="I94" s="38"/>
    </row>
    <row r="95">
      <c r="A95" s="87"/>
      <c r="B95" s="84"/>
      <c r="C95" s="34"/>
      <c r="D95" s="34"/>
      <c r="E95" s="98">
        <v>18000.0</v>
      </c>
      <c r="F95" s="100">
        <f>E95</f>
        <v>18000</v>
      </c>
      <c r="G95" s="44">
        <f>F95*'Cost References'!D11</f>
        <v>2700</v>
      </c>
      <c r="H95" s="44">
        <f>SUM(F95:G95)</f>
        <v>20700</v>
      </c>
      <c r="I95" s="45">
        <f>I92+H95</f>
        <v>164836.4541</v>
      </c>
    </row>
    <row r="96">
      <c r="A96" s="87"/>
      <c r="B96" s="83" t="s">
        <v>85</v>
      </c>
      <c r="C96" s="28"/>
      <c r="D96" s="60"/>
      <c r="E96" s="60"/>
      <c r="F96" s="61"/>
      <c r="G96" s="62"/>
      <c r="H96" s="62"/>
      <c r="I96" s="63"/>
    </row>
    <row r="97">
      <c r="A97" s="87"/>
      <c r="C97" s="118" t="s">
        <v>86</v>
      </c>
      <c r="D97" s="119" t="s">
        <v>87</v>
      </c>
      <c r="E97" s="51" t="s">
        <v>88</v>
      </c>
      <c r="F97" s="56"/>
      <c r="G97" s="9"/>
      <c r="H97" s="9"/>
      <c r="I97" s="38"/>
    </row>
    <row r="98">
      <c r="A98" s="87"/>
      <c r="C98" s="120">
        <v>8000.0</v>
      </c>
      <c r="D98" s="119">
        <v>3900.0</v>
      </c>
      <c r="E98" s="121">
        <f>('Cost References'!D2*'Cost References'!D3)/32</f>
        <v>28.125</v>
      </c>
      <c r="I98" s="38"/>
    </row>
    <row r="99">
      <c r="A99" s="87"/>
      <c r="C99" s="51" t="s">
        <v>89</v>
      </c>
      <c r="D99" s="51" t="s">
        <v>90</v>
      </c>
      <c r="E99" s="119" t="s">
        <v>52</v>
      </c>
      <c r="F99" s="56"/>
      <c r="G99" s="9"/>
      <c r="H99" s="9"/>
      <c r="I99" s="38"/>
    </row>
    <row r="100">
      <c r="A100" s="87"/>
      <c r="C100" s="122"/>
      <c r="D100" s="123">
        <v>1000.0</v>
      </c>
      <c r="E100" s="123">
        <v>1500.0</v>
      </c>
      <c r="F100" s="56">
        <f>C98+D98+C100+D100+E100+(E98*'Cost References'!D249)</f>
        <v>15721.875</v>
      </c>
      <c r="G100" s="9">
        <f>F100*'Cost References'!D11</f>
        <v>2358.28125</v>
      </c>
      <c r="H100" s="9">
        <f>SUM(F100:G100)</f>
        <v>18080.15625</v>
      </c>
      <c r="I100" s="38">
        <f>I95+H100</f>
        <v>182916.6104</v>
      </c>
    </row>
    <row r="101">
      <c r="A101" s="87"/>
      <c r="B101" s="107" t="s">
        <v>91</v>
      </c>
      <c r="C101" s="34"/>
      <c r="D101" s="36"/>
      <c r="E101" s="36"/>
      <c r="F101" s="61"/>
      <c r="G101" s="62"/>
      <c r="H101" s="62"/>
      <c r="I101" s="63"/>
    </row>
    <row r="102">
      <c r="A102" s="87"/>
      <c r="B102" s="84"/>
      <c r="C102" s="34"/>
      <c r="D102" s="72" t="s">
        <v>92</v>
      </c>
      <c r="E102" s="64" t="s">
        <v>93</v>
      </c>
      <c r="F102" s="56"/>
      <c r="G102" s="9"/>
      <c r="H102" s="9"/>
      <c r="I102" s="38"/>
    </row>
    <row r="103">
      <c r="A103" s="87"/>
      <c r="B103" s="84"/>
      <c r="C103" s="34"/>
      <c r="D103" s="98" t="s">
        <v>64</v>
      </c>
      <c r="E103" s="98" t="s">
        <v>64</v>
      </c>
      <c r="F103" s="58">
        <f>'Cost References'!D192+IF(E103='Cost References'!C202,'Cost References'!D202,IF(E103='Cost References'!C203,'Cost References'!D203,IF(E103='Cost References'!C204,'Cost References'!D204,0)))</f>
        <v>6000</v>
      </c>
      <c r="G103" s="9">
        <f>F103*'Cost References'!D11</f>
        <v>900</v>
      </c>
      <c r="H103" s="9">
        <f>SUM(F103:G103)</f>
        <v>6900</v>
      </c>
      <c r="I103" s="38">
        <f>H103+I100</f>
        <v>189816.6104</v>
      </c>
      <c r="J103" s="97" t="s">
        <v>94</v>
      </c>
    </row>
    <row r="104">
      <c r="A104" s="87"/>
      <c r="B104" s="107" t="s">
        <v>95</v>
      </c>
      <c r="C104" s="28"/>
      <c r="D104" s="60"/>
      <c r="E104" s="60"/>
      <c r="F104" s="61"/>
      <c r="G104" s="62"/>
      <c r="H104" s="62"/>
      <c r="I104" s="63"/>
    </row>
    <row r="105">
      <c r="A105" s="87"/>
      <c r="B105" s="84"/>
      <c r="C105" s="34"/>
      <c r="D105" s="119" t="s">
        <v>96</v>
      </c>
      <c r="E105" s="119" t="s">
        <v>97</v>
      </c>
      <c r="F105" s="56"/>
      <c r="G105" s="9"/>
      <c r="H105" s="9"/>
      <c r="I105" s="38"/>
    </row>
    <row r="106">
      <c r="A106" s="104"/>
      <c r="B106" s="84"/>
      <c r="C106" s="34"/>
      <c r="D106" s="124">
        <v>5.5</v>
      </c>
      <c r="E106" s="119">
        <v>100.0</v>
      </c>
      <c r="F106" s="58">
        <f>E106*'Cost References'!D246+D106*E106</f>
        <v>1100</v>
      </c>
      <c r="G106" s="9">
        <f>F106*'Cost References'!D11</f>
        <v>165</v>
      </c>
      <c r="H106" s="9">
        <f>SUM(F106:G106)</f>
        <v>1265</v>
      </c>
      <c r="I106" s="38">
        <f>H106+I103</f>
        <v>191081.6104</v>
      </c>
    </row>
    <row r="107">
      <c r="A107" s="115" t="s">
        <v>98</v>
      </c>
      <c r="B107" s="83" t="s">
        <v>99</v>
      </c>
      <c r="C107" s="28"/>
      <c r="D107" s="60"/>
      <c r="E107" s="60"/>
      <c r="F107" s="61"/>
      <c r="G107" s="62"/>
      <c r="H107" s="62"/>
      <c r="I107" s="63"/>
    </row>
    <row r="108">
      <c r="A108" s="87"/>
      <c r="B108" s="84"/>
      <c r="C108" s="34"/>
      <c r="D108" s="36"/>
      <c r="E108" s="36"/>
      <c r="F108" s="37" t="s">
        <v>15</v>
      </c>
      <c r="G108" s="125"/>
      <c r="H108" s="9"/>
      <c r="I108" s="38"/>
    </row>
    <row r="109">
      <c r="A109" s="87"/>
      <c r="B109" s="84"/>
      <c r="C109" s="34"/>
      <c r="D109" s="36"/>
      <c r="E109" s="36"/>
      <c r="F109" s="78">
        <v>1400.0</v>
      </c>
      <c r="G109" s="85">
        <f>F109*'Cost References'!D11</f>
        <v>210</v>
      </c>
      <c r="H109" s="44">
        <f>SUM(F109:G109)</f>
        <v>1610</v>
      </c>
      <c r="I109" s="38">
        <f>I106+H109</f>
        <v>192691.6104</v>
      </c>
    </row>
    <row r="110">
      <c r="A110" s="87"/>
      <c r="B110" s="83" t="s">
        <v>100</v>
      </c>
      <c r="C110" s="28"/>
      <c r="D110" s="60"/>
      <c r="E110" s="60"/>
      <c r="F110" s="61"/>
      <c r="G110" s="9"/>
      <c r="H110" s="9"/>
      <c r="I110" s="63"/>
    </row>
    <row r="111">
      <c r="A111" s="87"/>
      <c r="B111" s="84"/>
      <c r="C111" s="34"/>
      <c r="D111" s="36"/>
      <c r="E111" s="36"/>
      <c r="F111" s="126" t="s">
        <v>15</v>
      </c>
      <c r="G111" s="9"/>
      <c r="H111" s="9"/>
      <c r="I111" s="38"/>
    </row>
    <row r="112">
      <c r="A112" s="87"/>
      <c r="B112" s="84"/>
      <c r="C112" s="34"/>
      <c r="D112" s="36"/>
      <c r="E112" s="36"/>
      <c r="F112" s="78">
        <v>2500.0</v>
      </c>
      <c r="G112" s="85">
        <f>F112*'Cost References'!D11</f>
        <v>375</v>
      </c>
      <c r="H112" s="44">
        <f>SUM(F112:G112)</f>
        <v>2875</v>
      </c>
      <c r="I112" s="38">
        <f>I109+H112</f>
        <v>195566.6104</v>
      </c>
    </row>
    <row r="113">
      <c r="A113" s="87"/>
      <c r="B113" s="83" t="s">
        <v>101</v>
      </c>
      <c r="C113" s="127" t="s">
        <v>102</v>
      </c>
      <c r="D113" s="109" t="s">
        <v>103</v>
      </c>
      <c r="E113" s="128" t="s">
        <v>46</v>
      </c>
      <c r="F113" s="61"/>
      <c r="G113" s="9"/>
      <c r="H113" s="9"/>
      <c r="I113" s="63"/>
    </row>
    <row r="114">
      <c r="A114" s="87"/>
      <c r="B114" s="129"/>
      <c r="C114" s="130" t="s">
        <v>104</v>
      </c>
      <c r="D114" s="122" t="s">
        <v>104</v>
      </c>
      <c r="E114" s="131" t="s">
        <v>101</v>
      </c>
      <c r="F114" s="56"/>
      <c r="G114" s="9"/>
      <c r="H114" s="9"/>
      <c r="I114" s="38"/>
    </row>
    <row r="115">
      <c r="A115" s="87"/>
      <c r="B115" s="84"/>
      <c r="C115" s="91">
        <v>1600.0</v>
      </c>
      <c r="D115" s="132">
        <v>1000.0</v>
      </c>
      <c r="E115" s="91">
        <v>0.0</v>
      </c>
      <c r="F115" s="58">
        <v>13000.0</v>
      </c>
      <c r="G115" s="44">
        <f>F115*'Cost References'!D11</f>
        <v>1950</v>
      </c>
      <c r="H115" s="44">
        <f>SUM(F115:G115)</f>
        <v>14950</v>
      </c>
      <c r="I115" s="45">
        <f>I112+H115</f>
        <v>210516.6104</v>
      </c>
    </row>
    <row r="116">
      <c r="A116" s="87"/>
      <c r="B116" s="83" t="s">
        <v>105</v>
      </c>
      <c r="C116" s="34"/>
      <c r="D116" s="36"/>
      <c r="E116" s="36"/>
      <c r="F116" s="61"/>
      <c r="G116" s="9"/>
      <c r="H116" s="9"/>
      <c r="I116" s="101"/>
    </row>
    <row r="117">
      <c r="A117" s="87"/>
      <c r="B117" s="84" t="s">
        <v>52</v>
      </c>
      <c r="C117" s="34"/>
      <c r="D117" s="51" t="s">
        <v>106</v>
      </c>
      <c r="E117" s="36"/>
      <c r="F117" s="56"/>
      <c r="G117" s="9"/>
      <c r="H117" s="9"/>
      <c r="I117" s="38"/>
    </row>
    <row r="118">
      <c r="A118" s="87"/>
      <c r="B118" s="84"/>
      <c r="C118" s="133"/>
      <c r="D118" s="91">
        <v>86.0</v>
      </c>
      <c r="E118" s="36"/>
      <c r="F118" s="58">
        <f>D118/3*'Cost References'!D155</f>
        <v>2580</v>
      </c>
      <c r="G118" s="9">
        <f>F118*'Cost References'!D11</f>
        <v>387</v>
      </c>
      <c r="H118" s="44">
        <f>SUM(F118:G118)</f>
        <v>2967</v>
      </c>
      <c r="I118" s="38">
        <f>I115+H118</f>
        <v>213483.6104</v>
      </c>
    </row>
    <row r="119">
      <c r="A119" s="87"/>
      <c r="B119" s="107" t="s">
        <v>107</v>
      </c>
      <c r="C119" s="28"/>
      <c r="D119" s="60"/>
      <c r="E119" s="60"/>
      <c r="F119" s="61"/>
      <c r="G119" s="62"/>
      <c r="H119" s="9"/>
      <c r="I119" s="134"/>
    </row>
    <row r="120">
      <c r="A120" s="87"/>
      <c r="B120" s="84"/>
      <c r="C120" s="135" t="s">
        <v>108</v>
      </c>
      <c r="E120" s="64" t="s">
        <v>15</v>
      </c>
      <c r="F120" s="56"/>
      <c r="G120" s="9"/>
      <c r="H120" s="9"/>
      <c r="I120" s="38"/>
    </row>
    <row r="121">
      <c r="A121" s="87"/>
      <c r="B121" s="84"/>
      <c r="C121" s="10"/>
      <c r="E121" s="98" t="s">
        <v>109</v>
      </c>
      <c r="F121" s="58">
        <f>IF(E121='Cost References'!C165,WALL_SQFT()*'Cost References'!D165,IF(E121='Cost References'!C166,WALL_SQFT()*'Cost References'!D166,IF(E121='Cost References'!C168,'Cost References'!D5*'Cost References'!D168,IF(E121='Cost References'!C167,WALL_SQFT()*'Cost References'!D167,0))))</f>
        <v>1464</v>
      </c>
      <c r="G121" s="9">
        <f>F121*'Cost References'!D11</f>
        <v>219.6</v>
      </c>
      <c r="H121" s="9">
        <f>SUM(F121:G121)</f>
        <v>1683.6</v>
      </c>
      <c r="I121" s="38">
        <f>I118+H121</f>
        <v>215167.2104</v>
      </c>
      <c r="J121" s="97" t="s">
        <v>110</v>
      </c>
    </row>
    <row r="122">
      <c r="A122" s="87"/>
      <c r="C122" s="135" t="s">
        <v>111</v>
      </c>
      <c r="D122" s="64" t="s">
        <v>112</v>
      </c>
      <c r="E122" s="64" t="s">
        <v>15</v>
      </c>
      <c r="F122" s="56"/>
      <c r="G122" s="9"/>
      <c r="H122" s="9"/>
      <c r="I122" s="38"/>
    </row>
    <row r="123">
      <c r="A123" s="87"/>
      <c r="D123" s="98" t="s">
        <v>113</v>
      </c>
      <c r="E123" s="98" t="s">
        <v>114</v>
      </c>
      <c r="F123" s="58">
        <f>IF(E123='Cost References'!C168,'Cost References'!D5*'Cost References'!D168,IF(E123='Cost References'!C169,'Cost References'!D5*'Cost References'!D169,IF(E123='Cost References'!C170,'Cost References'!D5*'Cost References'!D170,0)))</f>
        <v>450</v>
      </c>
      <c r="G123" s="44">
        <f>F123*'Cost References'!D11</f>
        <v>67.5</v>
      </c>
      <c r="H123" s="44">
        <f>SUM(F123:G123)</f>
        <v>517.5</v>
      </c>
      <c r="I123" s="38">
        <f>I121+H123</f>
        <v>215684.7104</v>
      </c>
    </row>
    <row r="124">
      <c r="A124" s="87"/>
      <c r="B124" s="83" t="s">
        <v>115</v>
      </c>
      <c r="C124" s="28"/>
      <c r="D124" s="60"/>
      <c r="E124" s="60"/>
      <c r="F124" s="61"/>
      <c r="G124" s="10"/>
      <c r="H124" s="9"/>
      <c r="I124" s="134"/>
    </row>
    <row r="125">
      <c r="A125" s="87"/>
      <c r="B125" s="84"/>
      <c r="C125" s="99"/>
      <c r="D125" s="99"/>
      <c r="E125" s="64" t="s">
        <v>45</v>
      </c>
      <c r="F125" s="56"/>
      <c r="G125" s="9"/>
      <c r="H125" s="9"/>
      <c r="I125" s="38"/>
    </row>
    <row r="126">
      <c r="A126" s="87"/>
      <c r="B126" s="110"/>
      <c r="C126" s="99"/>
      <c r="D126" s="99"/>
      <c r="E126" s="98">
        <v>8.0</v>
      </c>
      <c r="F126" s="68">
        <f>DRYWALL_SQFT()*'Cost References'!D177</f>
        <v>3770.76</v>
      </c>
      <c r="G126" s="44">
        <f>F126*'Cost References'!D11</f>
        <v>565.614</v>
      </c>
      <c r="H126" s="44">
        <f>SUM(F126:G126)</f>
        <v>4336.374</v>
      </c>
      <c r="I126" s="45">
        <f>I123+H126</f>
        <v>220021.0844</v>
      </c>
      <c r="J126" s="97" t="s">
        <v>116</v>
      </c>
    </row>
    <row r="127">
      <c r="A127" s="87"/>
      <c r="B127" s="83" t="s">
        <v>117</v>
      </c>
      <c r="C127" s="28"/>
      <c r="D127" s="60"/>
      <c r="E127" s="60"/>
      <c r="F127" s="61"/>
      <c r="G127" s="136"/>
      <c r="H127" s="9"/>
      <c r="I127" s="134"/>
    </row>
    <row r="128">
      <c r="A128" s="87"/>
      <c r="B128" s="84"/>
      <c r="D128" s="137" t="s">
        <v>118</v>
      </c>
      <c r="E128" s="90" t="s">
        <v>119</v>
      </c>
      <c r="F128" s="56"/>
      <c r="G128" s="9"/>
      <c r="H128" s="9"/>
      <c r="I128" s="38"/>
    </row>
    <row r="129">
      <c r="A129" s="104"/>
      <c r="B129" s="84"/>
      <c r="D129" s="91">
        <v>38.0</v>
      </c>
      <c r="E129" s="102">
        <v>1200.0</v>
      </c>
      <c r="F129" s="58">
        <f>D129*'Cost References'!D182+'Cost References'!D181*E129</f>
        <v>6200</v>
      </c>
      <c r="G129" s="9">
        <f>F129*'Cost References'!D11</f>
        <v>930</v>
      </c>
      <c r="H129" s="44">
        <f>SUM(F129:G129)</f>
        <v>7130</v>
      </c>
      <c r="I129" s="38">
        <f>I126+H129</f>
        <v>227151.0844</v>
      </c>
      <c r="J129" s="97" t="s">
        <v>120</v>
      </c>
    </row>
    <row r="130">
      <c r="A130" s="115" t="s">
        <v>121</v>
      </c>
      <c r="B130" s="83" t="s">
        <v>122</v>
      </c>
      <c r="C130" s="28"/>
      <c r="D130" s="60"/>
      <c r="E130" s="60"/>
      <c r="F130" s="61"/>
      <c r="G130" s="62"/>
      <c r="H130" s="9"/>
      <c r="I130" s="134"/>
    </row>
    <row r="131">
      <c r="A131" s="87"/>
      <c r="B131" s="84"/>
      <c r="D131" s="51" t="s">
        <v>84</v>
      </c>
      <c r="E131" s="51" t="s">
        <v>123</v>
      </c>
      <c r="F131" s="56"/>
      <c r="G131" s="9"/>
      <c r="H131" s="9"/>
      <c r="I131" s="38"/>
    </row>
    <row r="132">
      <c r="A132" s="87"/>
      <c r="B132" s="110"/>
      <c r="D132" s="119">
        <v>2500.0</v>
      </c>
      <c r="E132" s="91">
        <v>0.0</v>
      </c>
      <c r="F132" s="100">
        <f>D132+E132*20</f>
        <v>2500</v>
      </c>
      <c r="G132" s="44"/>
      <c r="H132" s="44">
        <f>SUM(F132:G132)</f>
        <v>2500</v>
      </c>
      <c r="I132" s="45">
        <f>I129+H132</f>
        <v>229651.0844</v>
      </c>
    </row>
    <row r="133">
      <c r="A133" s="87"/>
      <c r="B133" s="138" t="s">
        <v>124</v>
      </c>
      <c r="C133" s="139"/>
      <c r="D133" s="139"/>
      <c r="E133" s="139"/>
      <c r="F133" s="139"/>
      <c r="G133" s="139"/>
      <c r="H133" s="139"/>
      <c r="I133" s="140"/>
    </row>
    <row r="134">
      <c r="A134" s="87"/>
      <c r="B134" s="141"/>
      <c r="C134" s="142"/>
      <c r="D134" s="142"/>
      <c r="E134" s="72" t="s">
        <v>79</v>
      </c>
      <c r="F134" s="142"/>
      <c r="G134" s="142"/>
      <c r="H134" s="142"/>
      <c r="I134" s="143"/>
    </row>
    <row r="135">
      <c r="A135" s="87"/>
      <c r="B135" s="141"/>
      <c r="C135" s="142"/>
      <c r="D135" s="144"/>
      <c r="E135" s="98" t="s">
        <v>125</v>
      </c>
      <c r="F135" s="145">
        <f>IF(E135='Cost References'!C145,2*('Cost References'!D258+'Cost References'!D259),IF(E135='Cost References'!C144,'Cost References'!D258+'Cost References'!D259,0))</f>
        <v>650</v>
      </c>
      <c r="G135" s="145">
        <f>F135*'Cost References'!D11</f>
        <v>97.5</v>
      </c>
      <c r="H135" s="146">
        <f>SUM(F135:G135)</f>
        <v>747.5</v>
      </c>
      <c r="I135" s="147">
        <f>I132+H135</f>
        <v>230398.5844</v>
      </c>
    </row>
    <row r="136">
      <c r="A136" s="87"/>
      <c r="B136" s="83" t="s">
        <v>126</v>
      </c>
      <c r="C136" s="28"/>
      <c r="D136" s="34"/>
      <c r="E136" s="34"/>
      <c r="F136" s="28"/>
      <c r="G136" s="28"/>
      <c r="H136" s="28"/>
      <c r="I136" s="148"/>
    </row>
    <row r="137">
      <c r="A137" s="87"/>
      <c r="B137" s="84"/>
      <c r="C137" s="34"/>
      <c r="D137" s="119" t="s">
        <v>73</v>
      </c>
      <c r="E137" s="72" t="s">
        <v>127</v>
      </c>
      <c r="I137" s="38"/>
    </row>
    <row r="138">
      <c r="A138" s="87"/>
      <c r="B138" s="84"/>
      <c r="C138" s="34"/>
      <c r="D138" s="102">
        <v>1.0</v>
      </c>
      <c r="E138" s="149" t="s">
        <v>127</v>
      </c>
      <c r="F138" s="56">
        <f>(IF(E138='Cost References'!C233,'Cost References'!D233,IF(E138='Cost References'!C234,'Cost References'!D234,IF(E138='Cost References'!C235,'Cost References'!D235,IF(E138='Cost References'!C236,'Cost References'!D236,IF(E138='Cost References'!C237,'Cost References'!D237,IF(E138='Cost References'!C238,'Cost References'!D238,0))))*D138)))</f>
        <v>1000</v>
      </c>
      <c r="G138" s="9">
        <f>F138*'Cost References'!D11</f>
        <v>150</v>
      </c>
      <c r="H138" s="9">
        <f>SUM(F138:G138)</f>
        <v>1150</v>
      </c>
      <c r="I138" s="38">
        <f>I132+H138</f>
        <v>230801.0844</v>
      </c>
    </row>
    <row r="139">
      <c r="A139" s="87"/>
      <c r="B139" s="84"/>
      <c r="C139" s="34"/>
      <c r="D139" s="119" t="s">
        <v>73</v>
      </c>
      <c r="E139" s="72" t="s">
        <v>128</v>
      </c>
      <c r="I139" s="38"/>
    </row>
    <row r="140">
      <c r="A140" s="87"/>
      <c r="B140" s="84"/>
      <c r="C140" s="34"/>
      <c r="D140" s="102">
        <v>1.0</v>
      </c>
      <c r="E140" s="149" t="s">
        <v>129</v>
      </c>
      <c r="F140" s="56">
        <f>(IF(E140='Cost References'!C233,'Cost References'!D233,IF(E140='Cost References'!C234,'Cost References'!D234,IF(E140='Cost References'!C235,'Cost References'!D235,IF(E140='Cost References'!C236,'Cost References'!D236,IF(E140='Cost References'!C237,'Cost References'!D237,IF(E140='Cost References'!C238,'Cost References'!D238,0))))*D140)))+'Cost References'!D128</f>
        <v>3785</v>
      </c>
      <c r="G140" s="9">
        <f>F140*'Cost References'!D11</f>
        <v>567.75</v>
      </c>
      <c r="H140" s="9">
        <f>SUM(F140:G140)</f>
        <v>4352.75</v>
      </c>
      <c r="I140" s="38">
        <f>I138+H140</f>
        <v>235153.8344</v>
      </c>
      <c r="J140" s="97" t="s">
        <v>130</v>
      </c>
    </row>
    <row r="141">
      <c r="A141" s="87"/>
      <c r="B141" s="84"/>
      <c r="C141" s="34"/>
      <c r="D141" s="119" t="s">
        <v>73</v>
      </c>
      <c r="E141" s="72" t="s">
        <v>131</v>
      </c>
      <c r="F141" s="56"/>
      <c r="G141" s="9"/>
      <c r="H141" s="9"/>
      <c r="I141" s="38"/>
    </row>
    <row r="142">
      <c r="A142" s="87"/>
      <c r="B142" s="84"/>
      <c r="C142" s="34"/>
      <c r="D142" s="102">
        <v>1.0</v>
      </c>
      <c r="E142" s="149" t="s">
        <v>132</v>
      </c>
      <c r="F142" s="56">
        <f>(IF(E142='Cost References'!C233,'Cost References'!D233,IF(E142='Cost References'!C234,'Cost References'!D234,IF(E142='Cost References'!C235,'Cost References'!D235,IF(E142='Cost References'!C236,'Cost References'!D236,IF(E142='Cost References'!C237,'Cost References'!D237,IF(E142='Cost References'!C238,'Cost References'!D238,0))))*D142)))+'Cost References'!D128</f>
        <v>2785</v>
      </c>
      <c r="G142" s="9">
        <f>F142*'Cost References'!D11</f>
        <v>417.75</v>
      </c>
      <c r="H142" s="9">
        <f>SUM(F142:G142)</f>
        <v>3202.75</v>
      </c>
      <c r="I142" s="38">
        <f>I140+H142</f>
        <v>238356.5844</v>
      </c>
    </row>
    <row r="143">
      <c r="A143" s="87"/>
      <c r="B143" s="84"/>
      <c r="C143" s="34"/>
      <c r="D143" s="137" t="s">
        <v>73</v>
      </c>
      <c r="E143" s="150" t="s">
        <v>133</v>
      </c>
      <c r="F143" s="56"/>
      <c r="G143" s="9"/>
      <c r="H143" s="9"/>
      <c r="I143" s="38"/>
    </row>
    <row r="144">
      <c r="A144" s="104"/>
      <c r="B144" s="110"/>
      <c r="C144" s="40"/>
      <c r="D144" s="102">
        <v>1.0</v>
      </c>
      <c r="E144" s="149" t="s">
        <v>132</v>
      </c>
      <c r="F144" s="100">
        <f>(IF(E144='Cost References'!C233,'Cost References'!D233,IF(E144='Cost References'!C234,'Cost References'!D234,IF(E144='Cost References'!C235,'Cost References'!D235,IF(E144='Cost References'!C236,'Cost References'!D236,IF(E144='Cost References'!C237,'Cost References'!D237,IF(E144='Cost References'!C238,'Cost References'!D238,0))))*D144)))+'Cost References'!D128</f>
        <v>2785</v>
      </c>
      <c r="G144" s="44">
        <f>F144*'Cost References'!D11</f>
        <v>417.75</v>
      </c>
      <c r="H144" s="44">
        <f>SUM(F144:G144)</f>
        <v>3202.75</v>
      </c>
      <c r="I144" s="45">
        <f>I142+H144</f>
        <v>241559.3344</v>
      </c>
    </row>
    <row r="145">
      <c r="A145" s="115" t="s">
        <v>134</v>
      </c>
      <c r="B145" s="83" t="s">
        <v>135</v>
      </c>
      <c r="C145" s="28"/>
      <c r="D145" s="60"/>
      <c r="E145" s="60"/>
      <c r="F145" s="61"/>
      <c r="G145" s="9"/>
      <c r="H145" s="9"/>
      <c r="I145" s="63"/>
    </row>
    <row r="146">
      <c r="A146" s="87"/>
      <c r="B146" s="84"/>
      <c r="C146" s="34"/>
      <c r="D146" s="36"/>
      <c r="E146" s="36"/>
      <c r="F146" s="37" t="s">
        <v>15</v>
      </c>
      <c r="G146" s="9"/>
      <c r="H146" s="9"/>
      <c r="I146" s="38"/>
    </row>
    <row r="147">
      <c r="A147" s="87"/>
      <c r="B147" s="84"/>
      <c r="C147" s="34"/>
      <c r="D147" s="36"/>
      <c r="E147" s="36"/>
      <c r="F147" s="43">
        <v>3500.0</v>
      </c>
      <c r="G147" s="85">
        <f>F147*'Cost References'!D11</f>
        <v>525</v>
      </c>
      <c r="H147" s="44">
        <f>SUM(F147:G147)</f>
        <v>4025</v>
      </c>
      <c r="I147" s="38">
        <f>I144+H147</f>
        <v>245584.3344</v>
      </c>
    </row>
    <row r="148">
      <c r="A148" s="87"/>
      <c r="B148" s="83" t="s">
        <v>136</v>
      </c>
      <c r="C148" s="28"/>
      <c r="D148" s="60"/>
      <c r="E148" s="60"/>
      <c r="F148" s="61"/>
      <c r="G148" s="9"/>
      <c r="H148" s="9"/>
      <c r="I148" s="63"/>
    </row>
    <row r="149">
      <c r="A149" s="87"/>
      <c r="B149" s="84"/>
      <c r="C149" s="34"/>
      <c r="D149" s="36"/>
      <c r="E149" s="36"/>
      <c r="F149" s="37" t="s">
        <v>15</v>
      </c>
      <c r="G149" s="9"/>
      <c r="H149" s="9"/>
      <c r="I149" s="38"/>
    </row>
    <row r="150">
      <c r="A150" s="87"/>
      <c r="B150" s="84"/>
      <c r="C150" s="34"/>
      <c r="D150" s="36"/>
      <c r="E150" s="36"/>
      <c r="F150" s="43">
        <v>4300.0</v>
      </c>
      <c r="G150" s="85"/>
      <c r="H150" s="44">
        <f>SUM(F150:G150)</f>
        <v>4300</v>
      </c>
      <c r="I150" s="38">
        <f>I147+H150</f>
        <v>249884.3344</v>
      </c>
    </row>
    <row r="151">
      <c r="A151" s="87"/>
      <c r="B151" s="83" t="s">
        <v>137</v>
      </c>
      <c r="C151" s="28"/>
      <c r="D151" s="60"/>
      <c r="E151" s="60"/>
      <c r="F151" s="61"/>
      <c r="G151" s="9"/>
      <c r="H151" s="9"/>
      <c r="I151" s="63"/>
    </row>
    <row r="152">
      <c r="A152" s="87"/>
      <c r="B152" s="84"/>
      <c r="C152" s="34"/>
      <c r="D152" s="36"/>
      <c r="E152" s="36"/>
      <c r="F152" s="37" t="s">
        <v>15</v>
      </c>
      <c r="G152" s="9"/>
      <c r="H152" s="9"/>
      <c r="I152" s="38"/>
    </row>
    <row r="153">
      <c r="A153" s="104"/>
      <c r="B153" s="84"/>
      <c r="C153" s="34"/>
      <c r="D153" s="36"/>
      <c r="E153" s="36"/>
      <c r="F153" s="43">
        <v>750.0</v>
      </c>
      <c r="G153" s="85">
        <f>F153*'Cost References'!D11</f>
        <v>112.5</v>
      </c>
      <c r="H153" s="44">
        <f>SUM(F153:G153)</f>
        <v>862.5</v>
      </c>
      <c r="I153" s="38">
        <f>I150+H153</f>
        <v>250746.8344</v>
      </c>
    </row>
    <row r="154">
      <c r="A154" s="115" t="s">
        <v>13</v>
      </c>
      <c r="B154" s="107" t="s">
        <v>138</v>
      </c>
      <c r="C154" s="28"/>
      <c r="D154" s="60"/>
      <c r="E154" s="60"/>
      <c r="F154" s="61"/>
      <c r="G154" s="9"/>
      <c r="H154" s="9"/>
      <c r="I154" s="63"/>
    </row>
    <row r="155">
      <c r="A155" s="87"/>
      <c r="B155" s="84"/>
      <c r="C155" s="34"/>
      <c r="D155" s="36"/>
      <c r="E155" s="64" t="s">
        <v>139</v>
      </c>
      <c r="F155" s="56"/>
      <c r="G155" s="9"/>
      <c r="H155" s="9"/>
      <c r="I155" s="38"/>
    </row>
    <row r="156">
      <c r="A156" s="87"/>
      <c r="B156" s="84"/>
      <c r="C156" s="34"/>
      <c r="D156" s="36"/>
      <c r="E156" s="98">
        <v>3000.0</v>
      </c>
      <c r="F156" s="56">
        <f>E156</f>
        <v>3000</v>
      </c>
      <c r="G156" s="9"/>
      <c r="H156" s="44">
        <f>SUM(F156:G156)</f>
        <v>3000</v>
      </c>
      <c r="I156" s="38">
        <f>I153+H156</f>
        <v>253746.8344</v>
      </c>
    </row>
    <row r="157">
      <c r="A157" s="87"/>
      <c r="B157" s="83" t="s">
        <v>140</v>
      </c>
      <c r="C157" s="28"/>
      <c r="D157" s="60"/>
      <c r="E157" s="60"/>
      <c r="F157" s="61"/>
      <c r="G157" s="136"/>
      <c r="H157" s="9"/>
      <c r="I157" s="134"/>
    </row>
    <row r="158">
      <c r="A158" s="87"/>
      <c r="B158" s="84"/>
      <c r="C158" s="34"/>
      <c r="D158" s="36"/>
      <c r="E158" s="72" t="s">
        <v>84</v>
      </c>
      <c r="F158" s="56"/>
      <c r="G158" s="9"/>
      <c r="H158" s="9"/>
      <c r="I158" s="38"/>
    </row>
    <row r="159">
      <c r="A159" s="87"/>
      <c r="B159" s="84"/>
      <c r="C159" s="34"/>
      <c r="D159" s="36"/>
      <c r="E159" s="98">
        <v>550.0</v>
      </c>
      <c r="F159" s="58">
        <f>E159</f>
        <v>550</v>
      </c>
      <c r="G159" s="9">
        <f>F157*'Cost References'!D11</f>
        <v>0</v>
      </c>
      <c r="H159" s="44">
        <f>SUM(F159:G159)</f>
        <v>550</v>
      </c>
      <c r="I159" s="38">
        <f>I156+H159</f>
        <v>254296.8344</v>
      </c>
    </row>
    <row r="160">
      <c r="A160" s="87"/>
      <c r="B160" s="83" t="s">
        <v>141</v>
      </c>
      <c r="C160" s="28"/>
      <c r="D160" s="60"/>
      <c r="E160" s="60"/>
      <c r="F160" s="61"/>
      <c r="G160" s="62"/>
      <c r="H160" s="62"/>
      <c r="I160" s="63"/>
    </row>
    <row r="161">
      <c r="A161" s="87"/>
      <c r="B161" s="84"/>
      <c r="C161" s="34"/>
      <c r="D161" s="36"/>
      <c r="E161" s="64" t="s">
        <v>15</v>
      </c>
      <c r="F161" s="56"/>
      <c r="G161" s="9"/>
      <c r="H161" s="9"/>
      <c r="I161" s="38"/>
    </row>
    <row r="162">
      <c r="A162" s="87"/>
      <c r="B162" s="110"/>
      <c r="C162" s="40"/>
      <c r="D162" s="42"/>
      <c r="E162" s="151">
        <v>0.0</v>
      </c>
      <c r="F162" s="68">
        <f>E162</f>
        <v>0</v>
      </c>
      <c r="G162" s="44"/>
      <c r="H162" s="44">
        <f>SUM(F162:G162)</f>
        <v>0</v>
      </c>
      <c r="I162" s="45">
        <f>I159+H162</f>
        <v>254296.8344</v>
      </c>
    </row>
    <row r="163">
      <c r="A163" s="87"/>
      <c r="B163" s="83" t="s">
        <v>142</v>
      </c>
      <c r="C163" s="28"/>
      <c r="D163" s="60"/>
      <c r="E163" s="60"/>
      <c r="F163" s="61"/>
      <c r="G163" s="10"/>
      <c r="H163" s="9"/>
      <c r="I163" s="134"/>
    </row>
    <row r="164">
      <c r="A164" s="87"/>
      <c r="B164" s="84"/>
      <c r="C164" s="34"/>
      <c r="D164" s="36"/>
      <c r="E164" s="36"/>
      <c r="F164" s="37" t="s">
        <v>15</v>
      </c>
      <c r="G164" s="9"/>
      <c r="H164" s="9"/>
      <c r="I164" s="38"/>
    </row>
    <row r="165">
      <c r="A165" s="87"/>
      <c r="B165" s="84"/>
      <c r="C165" s="34"/>
      <c r="D165" s="36"/>
      <c r="E165" s="36"/>
      <c r="F165" s="78">
        <v>350.0</v>
      </c>
      <c r="G165" s="9">
        <f>F165*'Cost References'!D11</f>
        <v>52.5</v>
      </c>
      <c r="H165" s="9">
        <f>SUM(F165:G165)</f>
        <v>402.5</v>
      </c>
      <c r="I165" s="38">
        <f>G165+F165+I162</f>
        <v>254699.3344</v>
      </c>
    </row>
    <row r="166">
      <c r="A166" s="87"/>
      <c r="B166" s="107" t="s">
        <v>143</v>
      </c>
      <c r="C166" s="28"/>
      <c r="D166" s="60"/>
      <c r="E166" s="60"/>
      <c r="F166" s="152">
        <v>0.0</v>
      </c>
      <c r="G166" s="153">
        <v>0.0</v>
      </c>
      <c r="H166" s="153">
        <v>0.0</v>
      </c>
      <c r="I166" s="154">
        <f>I165+H166</f>
        <v>254699.3344</v>
      </c>
    </row>
    <row r="167">
      <c r="A167" s="87"/>
      <c r="B167" s="83" t="s">
        <v>144</v>
      </c>
      <c r="C167" s="28"/>
      <c r="D167" s="60"/>
      <c r="E167" s="60"/>
      <c r="F167" s="56"/>
      <c r="G167" s="10"/>
      <c r="H167" s="9"/>
      <c r="I167" s="101"/>
    </row>
    <row r="168">
      <c r="A168" s="87"/>
      <c r="B168" s="84"/>
      <c r="C168" s="34"/>
      <c r="D168" s="36"/>
      <c r="E168" s="64" t="s">
        <v>15</v>
      </c>
      <c r="F168" s="56"/>
      <c r="G168" s="9"/>
      <c r="H168" s="9"/>
      <c r="I168" s="38"/>
    </row>
    <row r="169">
      <c r="A169" s="87"/>
      <c r="B169" s="84"/>
      <c r="C169" s="34"/>
      <c r="D169" s="36"/>
      <c r="E169" s="98">
        <v>2000.0</v>
      </c>
      <c r="F169" s="56">
        <f>E169</f>
        <v>2000</v>
      </c>
      <c r="G169" s="9">
        <f>F169*'Cost References'!D11</f>
        <v>300</v>
      </c>
      <c r="H169" s="44">
        <f>SUM(F169:G169)</f>
        <v>2300</v>
      </c>
      <c r="I169" s="38">
        <f>I166+H169</f>
        <v>256999.3344</v>
      </c>
    </row>
    <row r="170">
      <c r="A170" s="87"/>
      <c r="B170" s="83" t="s">
        <v>145</v>
      </c>
      <c r="C170" s="28"/>
      <c r="D170" s="60"/>
      <c r="E170" s="60"/>
      <c r="F170" s="61"/>
      <c r="G170" s="62"/>
      <c r="H170" s="9"/>
      <c r="I170" s="63"/>
    </row>
    <row r="171">
      <c r="A171" s="87"/>
      <c r="B171" s="155" t="s">
        <v>146</v>
      </c>
      <c r="C171" s="34"/>
      <c r="D171" s="36"/>
      <c r="E171" s="64" t="s">
        <v>15</v>
      </c>
      <c r="F171" s="56"/>
      <c r="G171" s="9"/>
      <c r="H171" s="9"/>
      <c r="I171" s="38"/>
    </row>
    <row r="172">
      <c r="A172" s="87"/>
      <c r="B172" s="156"/>
      <c r="C172" s="34"/>
      <c r="D172" s="36"/>
      <c r="E172" s="98">
        <v>1000.0</v>
      </c>
      <c r="F172" s="56">
        <f>E172</f>
        <v>1000</v>
      </c>
      <c r="G172" s="9"/>
      <c r="H172" s="44">
        <f>SUM(F172:G172)</f>
        <v>1000</v>
      </c>
      <c r="I172" s="38">
        <f>I169+H172</f>
        <v>257999.3344</v>
      </c>
    </row>
    <row r="173" hidden="1">
      <c r="A173" s="87"/>
      <c r="B173" s="83" t="s">
        <v>147</v>
      </c>
      <c r="C173" s="28"/>
      <c r="D173" s="60"/>
      <c r="E173" s="10"/>
      <c r="F173" s="61"/>
      <c r="G173" s="62"/>
      <c r="H173" s="9"/>
      <c r="I173" s="63"/>
    </row>
    <row r="174" hidden="1">
      <c r="A174" s="87"/>
      <c r="B174" s="84"/>
      <c r="C174" s="34"/>
      <c r="D174" s="36"/>
      <c r="E174" s="64" t="s">
        <v>148</v>
      </c>
      <c r="F174" s="56"/>
      <c r="G174" s="9"/>
      <c r="H174" s="9"/>
      <c r="I174" s="38"/>
    </row>
    <row r="175" hidden="1">
      <c r="A175" s="87"/>
      <c r="B175" s="84"/>
      <c r="C175" s="34"/>
      <c r="D175" s="36"/>
      <c r="E175" s="157">
        <v>50000.0</v>
      </c>
      <c r="F175" s="58">
        <f>E175</f>
        <v>50000</v>
      </c>
      <c r="G175" s="9"/>
      <c r="H175" s="44">
        <f>SUM(F175:G175)</f>
        <v>50000</v>
      </c>
      <c r="I175" s="38">
        <f>I172+H175</f>
        <v>307999.3344</v>
      </c>
    </row>
    <row r="176">
      <c r="A176" s="87"/>
      <c r="B176" s="83" t="s">
        <v>149</v>
      </c>
      <c r="C176" s="28"/>
      <c r="D176" s="60"/>
      <c r="E176" s="60"/>
      <c r="F176" s="61"/>
      <c r="G176" s="62"/>
      <c r="H176" s="9"/>
      <c r="I176" s="63"/>
    </row>
    <row r="177">
      <c r="A177" s="87"/>
      <c r="B177" s="84" t="s">
        <v>150</v>
      </c>
      <c r="C177" s="34"/>
      <c r="D177" s="158" t="s">
        <v>151</v>
      </c>
      <c r="E177" s="159" t="s">
        <v>152</v>
      </c>
      <c r="F177" s="56"/>
      <c r="G177" s="9"/>
      <c r="H177" s="9"/>
      <c r="I177" s="38"/>
    </row>
    <row r="178">
      <c r="A178" s="87"/>
      <c r="B178" s="84"/>
      <c r="C178" s="34"/>
      <c r="D178" s="98"/>
      <c r="E178" s="98">
        <v>0.05</v>
      </c>
      <c r="F178" s="160">
        <f>(I175+IF(D178='Cost References'!D161,-(I10),0))*E178</f>
        <v>15399.96672</v>
      </c>
      <c r="G178" s="9">
        <f>F178*'Cost References'!D11</f>
        <v>2309.995008</v>
      </c>
      <c r="H178" s="9">
        <f>SUM(F178:G178)</f>
        <v>17709.96173</v>
      </c>
      <c r="I178" s="161">
        <f>I175+H178</f>
        <v>325709.2961</v>
      </c>
    </row>
    <row r="179">
      <c r="A179" s="104"/>
      <c r="I179" s="162"/>
    </row>
    <row r="180">
      <c r="A180" s="110"/>
      <c r="B180" s="40"/>
      <c r="C180" s="42"/>
      <c r="D180" s="42"/>
      <c r="E180" s="100"/>
      <c r="F180" s="116"/>
      <c r="G180" s="163" t="s">
        <v>153</v>
      </c>
      <c r="H180" s="164"/>
      <c r="I180" s="165">
        <f>I178</f>
        <v>325709.2961</v>
      </c>
    </row>
  </sheetData>
  <mergeCells count="26">
    <mergeCell ref="B8:B10"/>
    <mergeCell ref="B11:B13"/>
    <mergeCell ref="B14:B15"/>
    <mergeCell ref="B16:B17"/>
    <mergeCell ref="B18:B19"/>
    <mergeCell ref="B20:B22"/>
    <mergeCell ref="B27:B28"/>
    <mergeCell ref="A29:I29"/>
    <mergeCell ref="A1:I1"/>
    <mergeCell ref="C2:F2"/>
    <mergeCell ref="C3:F3"/>
    <mergeCell ref="C4:F4"/>
    <mergeCell ref="C5:F5"/>
    <mergeCell ref="A7:I7"/>
    <mergeCell ref="A8:A28"/>
    <mergeCell ref="A107:A129"/>
    <mergeCell ref="A130:A144"/>
    <mergeCell ref="A145:A153"/>
    <mergeCell ref="A154:A179"/>
    <mergeCell ref="B23:B24"/>
    <mergeCell ref="B25:B26"/>
    <mergeCell ref="A30:A49"/>
    <mergeCell ref="B30:B32"/>
    <mergeCell ref="A50:A68"/>
    <mergeCell ref="A69:A79"/>
    <mergeCell ref="A80:A106"/>
  </mergeCells>
  <conditionalFormatting sqref="A6:J6 O6:AA6">
    <cfRule type="notContainsBlanks" dxfId="0" priority="1">
      <formula>LEN(TRIM(A6))&gt;0</formula>
    </cfRule>
  </conditionalFormatting>
  <dataValidations>
    <dataValidation type="list" allowBlank="1" showErrorMessage="1" sqref="E95">
      <formula1>Cabinets</formula1>
    </dataValidation>
    <dataValidation type="list" allowBlank="1" showInputMessage="1" showErrorMessage="1" prompt="Click and enter a value from range" sqref="E103">
      <formula1>Microwave</formula1>
    </dataValidation>
    <dataValidation type="list" allowBlank="1" showErrorMessage="1" sqref="E76">
      <formula1>WindowsDoors</formula1>
    </dataValidation>
    <dataValidation type="list" allowBlank="1" showInputMessage="1" showErrorMessage="1" prompt="Click and enter a value from range" sqref="E175">
      <formula1>Profit</formula1>
    </dataValidation>
    <dataValidation type="list" allowBlank="1" showInputMessage="1" showErrorMessage="1" prompt="Click and enter a value from range" sqref="E178">
      <formula1>RealEstateComm</formula1>
    </dataValidation>
    <dataValidation type="list" allowBlank="1" showErrorMessage="1" sqref="E126">
      <formula1>StudWallHeight</formula1>
    </dataValidation>
    <dataValidation type="list" allowBlank="1" showErrorMessage="1" sqref="D103">
      <formula1>MiniSplit</formula1>
    </dataValidation>
    <dataValidation type="list" allowBlank="1" showInputMessage="1" showErrorMessage="1" prompt=" - " sqref="D178">
      <formula1>#REF!</formula1>
    </dataValidation>
    <dataValidation type="list" allowBlank="1" showInputMessage="1" showErrorMessage="1" prompt=" - " sqref="E56">
      <formula1>#REF!</formula1>
    </dataValidation>
    <dataValidation type="list" allowBlank="1" showInputMessage="1" showErrorMessage="1" prompt="Click and enter a value from the list of items" sqref="D123">
      <formula1>"R50"</formula1>
    </dataValidation>
    <dataValidation type="list" allowBlank="1" showErrorMessage="1" sqref="E89 E135">
      <formula1>Electrical</formula1>
    </dataValidation>
    <dataValidation type="list" allowBlank="1" showErrorMessage="1" sqref="E22">
      <formula1>Permits</formula1>
    </dataValidation>
    <dataValidation type="list" allowBlank="1" showInputMessage="1" showErrorMessage="1" prompt="Click and enter a value from range" sqref="E121">
      <formula1>Insulation</formula1>
    </dataValidation>
    <dataValidation type="list" allowBlank="1" showErrorMessage="1" sqref="E159">
      <formula1>Cleaning</formula1>
    </dataValidation>
    <dataValidation type="list" allowBlank="1" showInputMessage="1" showErrorMessage="1" prompt="Click and enter a value from range" sqref="E53">
      <formula1>WinterMix</formula1>
    </dataValidation>
    <dataValidation type="list" allowBlank="1" showErrorMessage="1" sqref="E123">
      <formula1>Attic</formula1>
    </dataValidation>
    <dataValidation type="list" allowBlank="1" showErrorMessage="1" sqref="F35">
      <formula1>"Yes,No"</formula1>
    </dataValidation>
    <dataValidation type="list" allowBlank="1" showErrorMessage="1" sqref="D56 E62">
      <formula1>ConcreteWalls</formula1>
    </dataValidation>
    <dataValidation type="list" allowBlank="1" showInputMessage="1" showErrorMessage="1" prompt="Click and enter a value from range" sqref="E156 E169">
      <formula1>FixedPrices</formula1>
    </dataValidation>
    <dataValidation type="list" allowBlank="1" showErrorMessage="1" sqref="E138 E140 E142 E144">
      <formula1>ShowerType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75"/>
    <col customWidth="1" min="3" max="3" width="23.0"/>
    <col customWidth="1" min="4" max="4" width="26.5"/>
  </cols>
  <sheetData>
    <row r="1">
      <c r="A1" s="166" t="s">
        <v>154</v>
      </c>
      <c r="B1" s="2"/>
      <c r="C1" s="2"/>
      <c r="D1" s="3"/>
    </row>
    <row r="2">
      <c r="A2" s="167"/>
      <c r="B2" s="167"/>
      <c r="C2" s="168" t="s">
        <v>155</v>
      </c>
      <c r="D2" s="168">
        <v>25.0</v>
      </c>
      <c r="E2" s="169" t="s">
        <v>156</v>
      </c>
    </row>
    <row r="3">
      <c r="A3" s="167"/>
      <c r="B3" s="167"/>
      <c r="C3" s="168" t="s">
        <v>157</v>
      </c>
      <c r="D3" s="168">
        <v>36.0</v>
      </c>
    </row>
    <row r="4">
      <c r="A4" s="167"/>
      <c r="B4" s="167"/>
      <c r="C4" s="97" t="s">
        <v>158</v>
      </c>
      <c r="D4" s="97">
        <v>2.0</v>
      </c>
    </row>
    <row r="5">
      <c r="A5" s="167"/>
      <c r="B5" s="167"/>
      <c r="C5" s="97" t="s">
        <v>159</v>
      </c>
      <c r="D5" s="97">
        <f>D2*D3</f>
        <v>900</v>
      </c>
    </row>
    <row r="6">
      <c r="A6" s="167"/>
      <c r="B6" s="167"/>
      <c r="C6" s="97" t="s">
        <v>160</v>
      </c>
      <c r="D6" s="97">
        <f>LINEAR_FOOTAGE()</f>
        <v>122</v>
      </c>
    </row>
    <row r="7">
      <c r="A7" s="167"/>
      <c r="B7" s="167"/>
      <c r="C7" s="97" t="s">
        <v>161</v>
      </c>
      <c r="D7" s="97">
        <f>WALL_SQFT()</f>
        <v>2928</v>
      </c>
      <c r="E7" s="97" t="s">
        <v>162</v>
      </c>
    </row>
    <row r="8">
      <c r="A8" s="167"/>
      <c r="B8" s="167"/>
      <c r="C8" s="97" t="s">
        <v>163</v>
      </c>
      <c r="D8" s="97">
        <f>DRYWALL_SQFT()</f>
        <v>5628</v>
      </c>
    </row>
    <row r="9">
      <c r="A9" s="166" t="s">
        <v>164</v>
      </c>
      <c r="B9" s="2"/>
      <c r="C9" s="2"/>
      <c r="D9" s="3"/>
    </row>
    <row r="11">
      <c r="C11" s="97" t="s">
        <v>165</v>
      </c>
      <c r="D11" s="170">
        <v>0.15</v>
      </c>
    </row>
    <row r="13">
      <c r="A13" s="166" t="s">
        <v>24</v>
      </c>
      <c r="B13" s="2"/>
      <c r="C13" s="2"/>
      <c r="D13" s="3"/>
    </row>
    <row r="14">
      <c r="A14" s="171"/>
      <c r="D14" s="168"/>
    </row>
    <row r="15">
      <c r="B15" s="168" t="s">
        <v>166</v>
      </c>
      <c r="C15" s="171" t="s">
        <v>26</v>
      </c>
      <c r="D15" s="172">
        <v>3000.0</v>
      </c>
    </row>
    <row r="16">
      <c r="C16" s="173" t="s">
        <v>167</v>
      </c>
      <c r="D16" s="174">
        <v>3000.0</v>
      </c>
    </row>
    <row r="17">
      <c r="C17" s="171" t="s">
        <v>168</v>
      </c>
      <c r="D17" s="175">
        <v>2000.0</v>
      </c>
    </row>
    <row r="19">
      <c r="A19" s="176" t="s">
        <v>169</v>
      </c>
      <c r="B19" s="2"/>
      <c r="C19" s="2"/>
      <c r="D19" s="3"/>
    </row>
    <row r="21">
      <c r="D21" s="177">
        <v>3500.0</v>
      </c>
    </row>
    <row r="22">
      <c r="D22" s="177">
        <v>4000.0</v>
      </c>
    </row>
    <row r="23">
      <c r="D23" s="177">
        <v>4500.0</v>
      </c>
    </row>
    <row r="24">
      <c r="D24" s="177">
        <v>5000.0</v>
      </c>
    </row>
    <row r="25">
      <c r="D25" s="177">
        <v>5500.0</v>
      </c>
    </row>
    <row r="26">
      <c r="D26" s="177">
        <v>6000.0</v>
      </c>
    </row>
    <row r="27">
      <c r="A27" s="178"/>
      <c r="B27" s="178"/>
      <c r="C27" s="178"/>
      <c r="D27" s="177">
        <v>6500.0</v>
      </c>
    </row>
    <row r="28">
      <c r="A28" s="178"/>
      <c r="B28" s="178"/>
      <c r="C28" s="178"/>
      <c r="D28" s="177">
        <v>7000.0</v>
      </c>
    </row>
    <row r="29">
      <c r="D29" s="177">
        <v>7500.0</v>
      </c>
    </row>
    <row r="30">
      <c r="D30" s="177">
        <v>8000.0</v>
      </c>
    </row>
    <row r="31">
      <c r="D31" s="177">
        <v>8500.0</v>
      </c>
    </row>
    <row r="32">
      <c r="D32" s="177">
        <v>9000.0</v>
      </c>
    </row>
    <row r="33">
      <c r="D33" s="177">
        <v>9500.0</v>
      </c>
    </row>
    <row r="34">
      <c r="D34" s="177">
        <v>10000.0</v>
      </c>
    </row>
    <row r="37">
      <c r="A37" s="166" t="s">
        <v>32</v>
      </c>
      <c r="B37" s="2"/>
      <c r="C37" s="2"/>
      <c r="D37" s="3"/>
    </row>
    <row r="38">
      <c r="A38" s="179"/>
      <c r="C38" s="97"/>
      <c r="D38" s="180"/>
    </row>
    <row r="39">
      <c r="A39" s="179"/>
      <c r="C39" s="97" t="s">
        <v>170</v>
      </c>
      <c r="D39" s="180">
        <v>27.0</v>
      </c>
    </row>
    <row r="40">
      <c r="A40" s="179"/>
      <c r="C40" s="97" t="s">
        <v>171</v>
      </c>
      <c r="D40" s="180">
        <v>45.0</v>
      </c>
    </row>
    <row r="41">
      <c r="C41" s="97" t="s">
        <v>172</v>
      </c>
      <c r="D41" s="180">
        <v>100.0</v>
      </c>
    </row>
    <row r="42">
      <c r="C42" s="97" t="s">
        <v>173</v>
      </c>
      <c r="D42" s="180">
        <v>55.0</v>
      </c>
    </row>
    <row r="43">
      <c r="D43" s="47"/>
    </row>
    <row r="44">
      <c r="C44" s="181" t="s">
        <v>174</v>
      </c>
      <c r="D44" s="47"/>
    </row>
    <row r="45">
      <c r="C45" s="97">
        <v>300.0</v>
      </c>
      <c r="D45" s="180">
        <f>(C45*D39)+(C45*D40)+D41+D42</f>
        <v>21755</v>
      </c>
      <c r="F45" s="180"/>
    </row>
    <row r="46">
      <c r="C46" s="97">
        <v>400.0</v>
      </c>
      <c r="D46" s="180">
        <v>12845.0</v>
      </c>
    </row>
    <row r="47">
      <c r="C47" s="97">
        <v>500.0</v>
      </c>
      <c r="D47" s="180">
        <v>15545.0</v>
      </c>
    </row>
    <row r="48">
      <c r="D48" s="47"/>
    </row>
    <row r="49">
      <c r="B49" s="97" t="s">
        <v>175</v>
      </c>
      <c r="C49" s="181" t="s">
        <v>176</v>
      </c>
      <c r="D49" s="47"/>
    </row>
    <row r="50">
      <c r="C50" s="97" t="s">
        <v>177</v>
      </c>
      <c r="D50" s="180">
        <v>5200.0</v>
      </c>
    </row>
    <row r="51">
      <c r="C51" s="97" t="s">
        <v>178</v>
      </c>
      <c r="D51" s="180">
        <v>6200.0</v>
      </c>
    </row>
    <row r="52">
      <c r="A52" s="167"/>
      <c r="B52" s="167"/>
      <c r="C52" s="167"/>
      <c r="D52" s="167"/>
    </row>
    <row r="53">
      <c r="A53" s="166" t="s">
        <v>34</v>
      </c>
      <c r="B53" s="2"/>
      <c r="C53" s="2"/>
      <c r="D53" s="3"/>
    </row>
    <row r="55">
      <c r="C55" s="97" t="s">
        <v>179</v>
      </c>
      <c r="D55" s="180">
        <v>15000.0</v>
      </c>
    </row>
    <row r="56">
      <c r="C56" s="97" t="s">
        <v>180</v>
      </c>
    </row>
    <row r="59">
      <c r="A59" s="166" t="s">
        <v>35</v>
      </c>
      <c r="B59" s="2"/>
      <c r="C59" s="2"/>
      <c r="D59" s="3"/>
    </row>
    <row r="61">
      <c r="C61" s="97" t="s">
        <v>181</v>
      </c>
      <c r="D61" s="180">
        <v>275.0</v>
      </c>
    </row>
    <row r="64">
      <c r="A64" s="166" t="s">
        <v>38</v>
      </c>
      <c r="B64" s="2"/>
      <c r="C64" s="2"/>
      <c r="D64" s="3"/>
    </row>
    <row r="66">
      <c r="C66" s="168" t="s">
        <v>182</v>
      </c>
      <c r="D66" s="180">
        <v>185.0</v>
      </c>
    </row>
    <row r="67">
      <c r="C67" s="168" t="s">
        <v>183</v>
      </c>
      <c r="D67" s="180">
        <v>260.0</v>
      </c>
    </row>
    <row r="68">
      <c r="B68" s="182" t="s">
        <v>42</v>
      </c>
      <c r="C68" s="7"/>
      <c r="D68" s="7"/>
    </row>
    <row r="69">
      <c r="B69" s="97"/>
      <c r="C69" s="97" t="s">
        <v>184</v>
      </c>
      <c r="D69" s="180">
        <v>500.0</v>
      </c>
    </row>
    <row r="70">
      <c r="B70" s="97"/>
      <c r="C70" s="97" t="s">
        <v>43</v>
      </c>
      <c r="D70" s="175">
        <v>0.0</v>
      </c>
    </row>
    <row r="71">
      <c r="B71" s="97"/>
      <c r="C71" s="97"/>
      <c r="D71" s="180"/>
    </row>
    <row r="72">
      <c r="B72" s="182" t="s">
        <v>185</v>
      </c>
      <c r="C72" s="7"/>
      <c r="D72" s="7"/>
    </row>
    <row r="73">
      <c r="B73" s="183" t="s">
        <v>186</v>
      </c>
      <c r="C73" s="97"/>
      <c r="D73" s="180"/>
    </row>
    <row r="74">
      <c r="B74" s="183">
        <v>8.0</v>
      </c>
      <c r="C74" s="97" t="s">
        <v>187</v>
      </c>
      <c r="D74" s="180">
        <v>31.5</v>
      </c>
    </row>
    <row r="75">
      <c r="B75" s="183">
        <v>9.0</v>
      </c>
      <c r="C75" s="97" t="s">
        <v>187</v>
      </c>
      <c r="D75" s="180">
        <v>35.5</v>
      </c>
    </row>
    <row r="76">
      <c r="B76" s="183">
        <v>10.0</v>
      </c>
      <c r="C76" s="97" t="s">
        <v>187</v>
      </c>
      <c r="D76" s="180">
        <v>40.5</v>
      </c>
    </row>
    <row r="78">
      <c r="B78" s="182" t="s">
        <v>188</v>
      </c>
      <c r="C78" s="7"/>
      <c r="D78" s="7"/>
      <c r="G78" s="184"/>
      <c r="H78" s="185"/>
    </row>
    <row r="79">
      <c r="B79" s="97" t="s">
        <v>189</v>
      </c>
      <c r="C79" s="97" t="s">
        <v>190</v>
      </c>
      <c r="D79" s="180">
        <v>1.6</v>
      </c>
      <c r="G79" s="184"/>
      <c r="H79" s="185"/>
    </row>
    <row r="80">
      <c r="G80" s="186"/>
      <c r="H80" s="174"/>
      <c r="I80" s="97"/>
      <c r="J80" s="97"/>
    </row>
    <row r="81">
      <c r="B81" s="182" t="s">
        <v>191</v>
      </c>
      <c r="C81" s="7"/>
      <c r="D81" s="7"/>
      <c r="G81" s="186"/>
      <c r="H81" s="174"/>
      <c r="I81" s="97">
        <v>185.0</v>
      </c>
      <c r="J81" s="97" t="s">
        <v>192</v>
      </c>
    </row>
    <row r="82">
      <c r="C82" s="97" t="s">
        <v>193</v>
      </c>
      <c r="D82" s="180"/>
      <c r="G82" s="186"/>
      <c r="H82" s="174"/>
    </row>
    <row r="83">
      <c r="A83" s="167"/>
      <c r="B83" s="167"/>
      <c r="C83" s="97" t="s">
        <v>194</v>
      </c>
      <c r="D83" s="180">
        <v>7.0</v>
      </c>
      <c r="G83" s="186"/>
      <c r="H83" s="174"/>
    </row>
    <row r="84">
      <c r="A84" s="167"/>
      <c r="B84" s="182" t="s">
        <v>46</v>
      </c>
      <c r="C84" s="7"/>
      <c r="D84" s="7"/>
      <c r="G84" s="186"/>
      <c r="H84" s="174"/>
    </row>
    <row r="85">
      <c r="A85" s="167"/>
      <c r="B85" s="167"/>
      <c r="C85" s="97" t="s">
        <v>195</v>
      </c>
      <c r="D85" s="180">
        <v>2.0</v>
      </c>
      <c r="G85" s="186"/>
      <c r="H85" s="174"/>
    </row>
    <row r="86">
      <c r="A86" s="167"/>
      <c r="B86" s="167"/>
      <c r="C86" s="167"/>
      <c r="D86" s="167"/>
      <c r="G86" s="186"/>
      <c r="H86" s="174"/>
    </row>
    <row r="87">
      <c r="A87" s="167"/>
      <c r="B87" s="167"/>
      <c r="C87" s="167"/>
      <c r="D87" s="167"/>
      <c r="G87" s="186"/>
      <c r="H87" s="174"/>
    </row>
    <row r="88">
      <c r="A88" s="166" t="s">
        <v>36</v>
      </c>
      <c r="B88" s="2"/>
      <c r="C88" s="2"/>
      <c r="D88" s="3"/>
      <c r="G88" s="186"/>
      <c r="H88" s="174"/>
    </row>
    <row r="89">
      <c r="G89" s="186"/>
      <c r="H89" s="174"/>
    </row>
    <row r="91">
      <c r="A91" s="166" t="s">
        <v>101</v>
      </c>
      <c r="B91" s="2"/>
      <c r="C91" s="2"/>
      <c r="D91" s="3"/>
    </row>
    <row r="92">
      <c r="B92" s="182" t="s">
        <v>196</v>
      </c>
      <c r="C92" s="116"/>
      <c r="D92" s="116"/>
    </row>
    <row r="93">
      <c r="D93" s="97">
        <v>8.0</v>
      </c>
    </row>
    <row r="94">
      <c r="D94" s="97">
        <v>9.0</v>
      </c>
    </row>
    <row r="95">
      <c r="D95" s="97">
        <v>10.0</v>
      </c>
    </row>
    <row r="97">
      <c r="B97" s="182" t="s">
        <v>197</v>
      </c>
      <c r="C97" s="116"/>
      <c r="D97" s="116"/>
    </row>
    <row r="98">
      <c r="C98" s="97" t="s">
        <v>194</v>
      </c>
      <c r="D98" s="177">
        <v>9.0</v>
      </c>
    </row>
    <row r="99">
      <c r="B99" s="97"/>
    </row>
    <row r="100">
      <c r="B100" s="182" t="s">
        <v>198</v>
      </c>
      <c r="C100" s="116"/>
      <c r="D100" s="116"/>
    </row>
    <row r="101">
      <c r="C101" s="97" t="s">
        <v>194</v>
      </c>
      <c r="D101" s="177">
        <v>7.0</v>
      </c>
    </row>
    <row r="102">
      <c r="B102" s="97"/>
    </row>
    <row r="103">
      <c r="B103" s="182" t="s">
        <v>46</v>
      </c>
      <c r="C103" s="116"/>
      <c r="D103" s="116"/>
    </row>
    <row r="104">
      <c r="C104" s="97" t="s">
        <v>194</v>
      </c>
      <c r="D104" s="177">
        <v>7.0</v>
      </c>
    </row>
    <row r="106">
      <c r="A106" s="166" t="s">
        <v>83</v>
      </c>
      <c r="B106" s="2"/>
      <c r="C106" s="2"/>
      <c r="D106" s="3"/>
    </row>
    <row r="108">
      <c r="C108" s="97" t="s">
        <v>199</v>
      </c>
      <c r="D108" s="177">
        <v>5000.0</v>
      </c>
    </row>
    <row r="109">
      <c r="D109" s="177">
        <v>6000.0</v>
      </c>
    </row>
    <row r="110">
      <c r="D110" s="177">
        <v>7000.0</v>
      </c>
    </row>
    <row r="111">
      <c r="D111" s="177">
        <v>8000.0</v>
      </c>
    </row>
    <row r="112">
      <c r="D112" s="177">
        <v>9000.0</v>
      </c>
    </row>
    <row r="113">
      <c r="D113" s="177">
        <v>10000.0</v>
      </c>
    </row>
    <row r="114">
      <c r="D114" s="177">
        <v>11000.0</v>
      </c>
    </row>
    <row r="115">
      <c r="D115" s="177">
        <v>12000.0</v>
      </c>
    </row>
    <row r="116">
      <c r="D116" s="177">
        <v>13000.0</v>
      </c>
    </row>
    <row r="117">
      <c r="D117" s="177">
        <v>14000.0</v>
      </c>
    </row>
    <row r="118">
      <c r="D118" s="177">
        <v>15000.0</v>
      </c>
    </row>
    <row r="119">
      <c r="D119" s="187">
        <v>16000.0</v>
      </c>
    </row>
    <row r="120">
      <c r="D120" s="187">
        <v>17000.0</v>
      </c>
    </row>
    <row r="121">
      <c r="D121" s="187">
        <v>18000.0</v>
      </c>
    </row>
    <row r="123">
      <c r="C123" s="97" t="s">
        <v>200</v>
      </c>
    </row>
    <row r="125">
      <c r="A125" s="166" t="s">
        <v>201</v>
      </c>
      <c r="B125" s="2"/>
      <c r="C125" s="2"/>
      <c r="D125" s="3"/>
    </row>
    <row r="127">
      <c r="C127" s="184" t="s">
        <v>202</v>
      </c>
      <c r="D127" s="188">
        <v>2600.0</v>
      </c>
    </row>
    <row r="128">
      <c r="C128" s="189" t="s">
        <v>203</v>
      </c>
      <c r="D128" s="190">
        <f>D129+D130+D131+D132</f>
        <v>1485</v>
      </c>
    </row>
    <row r="129">
      <c r="C129" s="191" t="s">
        <v>204</v>
      </c>
      <c r="D129" s="190">
        <v>200.0</v>
      </c>
    </row>
    <row r="130">
      <c r="C130" s="191" t="s">
        <v>205</v>
      </c>
      <c r="D130" s="190">
        <v>235.0</v>
      </c>
    </row>
    <row r="131">
      <c r="C131" s="191" t="s">
        <v>206</v>
      </c>
      <c r="D131" s="190">
        <v>800.0</v>
      </c>
    </row>
    <row r="132">
      <c r="C132" s="191" t="s">
        <v>207</v>
      </c>
      <c r="D132" s="190">
        <v>250.0</v>
      </c>
    </row>
    <row r="134">
      <c r="C134" s="184" t="s">
        <v>208</v>
      </c>
      <c r="D134" s="192"/>
    </row>
    <row r="135">
      <c r="C135" s="193" t="s">
        <v>209</v>
      </c>
      <c r="D135" s="188">
        <f>1800+900</f>
        <v>2700</v>
      </c>
    </row>
    <row r="136">
      <c r="C136" s="193" t="s">
        <v>129</v>
      </c>
      <c r="D136" s="188">
        <f>1400+900</f>
        <v>2300</v>
      </c>
    </row>
    <row r="137">
      <c r="C137" s="193" t="s">
        <v>210</v>
      </c>
      <c r="D137" s="188">
        <v>1500.0</v>
      </c>
    </row>
    <row r="138">
      <c r="C138" s="193" t="s">
        <v>132</v>
      </c>
      <c r="D138" s="188">
        <v>1300.0</v>
      </c>
    </row>
    <row r="139">
      <c r="C139" s="193" t="s">
        <v>127</v>
      </c>
      <c r="D139" s="188">
        <v>1000.0</v>
      </c>
    </row>
    <row r="140">
      <c r="C140" s="193" t="s">
        <v>211</v>
      </c>
      <c r="D140" s="188">
        <f>1400+500</f>
        <v>1900</v>
      </c>
    </row>
    <row r="141">
      <c r="A141" s="186"/>
      <c r="B141" s="192"/>
    </row>
    <row r="142">
      <c r="A142" s="166" t="s">
        <v>76</v>
      </c>
      <c r="B142" s="2"/>
      <c r="C142" s="2"/>
      <c r="D142" s="3"/>
    </row>
    <row r="143">
      <c r="A143" s="186"/>
      <c r="B143" s="192"/>
    </row>
    <row r="144">
      <c r="A144" s="186"/>
      <c r="B144" s="192"/>
      <c r="C144" s="193" t="s">
        <v>125</v>
      </c>
      <c r="D144" s="188">
        <v>10000.0</v>
      </c>
    </row>
    <row r="145">
      <c r="A145" s="186"/>
      <c r="B145" s="192"/>
      <c r="C145" s="193" t="s">
        <v>80</v>
      </c>
      <c r="D145" s="188">
        <v>13500.0</v>
      </c>
    </row>
    <row r="146">
      <c r="C146" s="97" t="s">
        <v>212</v>
      </c>
      <c r="D146" s="175">
        <v>3.0</v>
      </c>
    </row>
    <row r="147">
      <c r="A147" s="166" t="s">
        <v>213</v>
      </c>
      <c r="B147" s="2"/>
      <c r="C147" s="2"/>
      <c r="D147" s="3"/>
    </row>
    <row r="149">
      <c r="C149" s="97" t="s">
        <v>194</v>
      </c>
      <c r="D149" s="188">
        <f>SUM(D150:D152)</f>
        <v>2</v>
      </c>
    </row>
    <row r="150">
      <c r="B150" s="174"/>
      <c r="C150" s="97" t="s">
        <v>214</v>
      </c>
      <c r="D150" s="175">
        <v>0.75</v>
      </c>
    </row>
    <row r="151">
      <c r="B151" s="174"/>
      <c r="C151" s="97" t="s">
        <v>215</v>
      </c>
      <c r="D151" s="175">
        <v>0.25</v>
      </c>
    </row>
    <row r="152">
      <c r="B152" s="174"/>
      <c r="C152" s="97" t="s">
        <v>216</v>
      </c>
      <c r="D152" s="175">
        <v>1.0</v>
      </c>
    </row>
    <row r="153">
      <c r="A153" s="166" t="s">
        <v>105</v>
      </c>
      <c r="B153" s="2"/>
      <c r="C153" s="2"/>
      <c r="D153" s="3"/>
    </row>
    <row r="155">
      <c r="C155" s="193" t="s">
        <v>217</v>
      </c>
      <c r="D155" s="185">
        <v>90.0</v>
      </c>
      <c r="E155" s="97" t="s">
        <v>218</v>
      </c>
    </row>
    <row r="156">
      <c r="C156" s="97" t="s">
        <v>219</v>
      </c>
      <c r="D156" s="185">
        <v>3.0</v>
      </c>
    </row>
    <row r="158">
      <c r="A158" s="194" t="s">
        <v>220</v>
      </c>
      <c r="B158" s="2"/>
      <c r="C158" s="2"/>
      <c r="D158" s="3"/>
    </row>
    <row r="159">
      <c r="A159" s="186"/>
      <c r="B159" s="192"/>
    </row>
    <row r="160">
      <c r="A160" s="186"/>
      <c r="B160" s="174"/>
      <c r="D160" s="97" t="s">
        <v>221</v>
      </c>
    </row>
    <row r="161">
      <c r="A161" s="195"/>
      <c r="B161" s="174"/>
      <c r="D161" s="97" t="s">
        <v>222</v>
      </c>
    </row>
    <row r="162">
      <c r="A162" s="195"/>
      <c r="B162" s="174"/>
    </row>
    <row r="163">
      <c r="A163" s="166" t="s">
        <v>223</v>
      </c>
      <c r="B163" s="2"/>
      <c r="C163" s="2"/>
      <c r="D163" s="3"/>
    </row>
    <row r="164">
      <c r="A164" s="195"/>
      <c r="B164" s="174"/>
      <c r="C164" s="196"/>
    </row>
    <row r="165">
      <c r="A165" s="195"/>
      <c r="B165" s="197" t="s">
        <v>194</v>
      </c>
      <c r="C165" s="198" t="s">
        <v>224</v>
      </c>
      <c r="D165" s="175">
        <v>0.3</v>
      </c>
    </row>
    <row r="166">
      <c r="C166" s="198" t="s">
        <v>225</v>
      </c>
      <c r="D166" s="175">
        <v>0.3</v>
      </c>
    </row>
    <row r="167">
      <c r="C167" s="198" t="s">
        <v>109</v>
      </c>
      <c r="D167" s="175">
        <v>0.5</v>
      </c>
    </row>
    <row r="168">
      <c r="C168" s="198" t="s">
        <v>226</v>
      </c>
      <c r="D168" s="175">
        <v>0.4</v>
      </c>
    </row>
    <row r="169">
      <c r="A169" s="186"/>
      <c r="C169" s="97" t="s">
        <v>227</v>
      </c>
      <c r="D169" s="175">
        <v>2.1</v>
      </c>
    </row>
    <row r="170">
      <c r="A170" s="186"/>
      <c r="B170" s="192"/>
      <c r="C170" s="97" t="s">
        <v>114</v>
      </c>
      <c r="D170" s="175">
        <v>0.5</v>
      </c>
    </row>
    <row r="171">
      <c r="A171" s="166" t="s">
        <v>228</v>
      </c>
      <c r="B171" s="2"/>
      <c r="C171" s="2"/>
      <c r="D171" s="3"/>
    </row>
    <row r="173">
      <c r="C173" s="199" t="s">
        <v>64</v>
      </c>
      <c r="D173" s="200">
        <v>1.0</v>
      </c>
    </row>
    <row r="174">
      <c r="C174" s="199" t="s">
        <v>229</v>
      </c>
      <c r="D174" s="200">
        <v>1.15</v>
      </c>
    </row>
    <row r="176">
      <c r="A176" s="166" t="s">
        <v>230</v>
      </c>
      <c r="B176" s="2"/>
      <c r="C176" s="2"/>
      <c r="D176" s="3"/>
    </row>
    <row r="177">
      <c r="C177" s="195" t="s">
        <v>231</v>
      </c>
      <c r="D177" s="188">
        <v>0.67</v>
      </c>
    </row>
    <row r="178">
      <c r="C178" s="195" t="s">
        <v>232</v>
      </c>
      <c r="D178" s="188">
        <v>1.75</v>
      </c>
    </row>
    <row r="179">
      <c r="A179" s="166" t="s">
        <v>117</v>
      </c>
      <c r="B179" s="2"/>
      <c r="C179" s="2"/>
      <c r="D179" s="3"/>
    </row>
    <row r="180">
      <c r="B180" s="97" t="s">
        <v>233</v>
      </c>
      <c r="C180" s="97" t="s">
        <v>234</v>
      </c>
      <c r="D180" s="175">
        <v>2.5</v>
      </c>
    </row>
    <row r="181">
      <c r="B181" s="97" t="s">
        <v>233</v>
      </c>
      <c r="C181" s="97" t="s">
        <v>235</v>
      </c>
      <c r="D181" s="175">
        <v>2.0</v>
      </c>
    </row>
    <row r="182">
      <c r="B182" s="97" t="s">
        <v>236</v>
      </c>
      <c r="C182" s="97" t="s">
        <v>237</v>
      </c>
      <c r="D182" s="175">
        <v>100.0</v>
      </c>
    </row>
    <row r="184">
      <c r="A184" s="166" t="s">
        <v>140</v>
      </c>
      <c r="B184" s="2"/>
      <c r="C184" s="2"/>
      <c r="D184" s="3"/>
    </row>
    <row r="185">
      <c r="C185" s="97" t="s">
        <v>238</v>
      </c>
      <c r="D185" s="201">
        <v>550.0</v>
      </c>
    </row>
    <row r="186">
      <c r="C186" s="196"/>
      <c r="D186" s="201">
        <v>600.0</v>
      </c>
    </row>
    <row r="187">
      <c r="D187" s="201">
        <v>650.0</v>
      </c>
    </row>
    <row r="188">
      <c r="D188" s="201">
        <v>700.0</v>
      </c>
    </row>
    <row r="189">
      <c r="D189" s="201">
        <v>750.0</v>
      </c>
    </row>
    <row r="190">
      <c r="A190" s="166" t="s">
        <v>91</v>
      </c>
      <c r="B190" s="2"/>
      <c r="C190" s="2"/>
      <c r="D190" s="3"/>
    </row>
    <row r="191">
      <c r="C191" s="184" t="s">
        <v>239</v>
      </c>
      <c r="D191" s="192"/>
    </row>
    <row r="192">
      <c r="C192" s="195" t="s">
        <v>240</v>
      </c>
      <c r="D192" s="188">
        <v>6000.0</v>
      </c>
    </row>
    <row r="194">
      <c r="C194" s="184" t="s">
        <v>241</v>
      </c>
    </row>
    <row r="195">
      <c r="C195" s="97" t="s">
        <v>64</v>
      </c>
      <c r="D195" s="175">
        <v>0.0</v>
      </c>
    </row>
    <row r="196">
      <c r="C196" s="97" t="s">
        <v>242</v>
      </c>
      <c r="D196" s="175">
        <v>5000.0</v>
      </c>
    </row>
    <row r="197">
      <c r="C197" s="97" t="s">
        <v>243</v>
      </c>
      <c r="D197" s="175">
        <v>10000.0</v>
      </c>
    </row>
    <row r="198">
      <c r="C198" s="97" t="s">
        <v>244</v>
      </c>
      <c r="D198" s="175">
        <v>15000.0</v>
      </c>
    </row>
    <row r="199">
      <c r="C199" s="97" t="s">
        <v>245</v>
      </c>
      <c r="D199" s="175">
        <v>20000.0</v>
      </c>
    </row>
    <row r="201">
      <c r="A201" s="166" t="s">
        <v>246</v>
      </c>
      <c r="B201" s="2"/>
      <c r="C201" s="2"/>
      <c r="D201" s="3"/>
    </row>
    <row r="202">
      <c r="C202" s="199" t="s">
        <v>247</v>
      </c>
      <c r="D202" s="185">
        <v>500.0</v>
      </c>
    </row>
    <row r="203">
      <c r="C203" s="199" t="s">
        <v>248</v>
      </c>
      <c r="D203" s="185">
        <v>430.0</v>
      </c>
    </row>
    <row r="204">
      <c r="C204" s="199" t="s">
        <v>64</v>
      </c>
      <c r="D204" s="174">
        <v>0.0</v>
      </c>
    </row>
    <row r="206">
      <c r="A206" s="166" t="s">
        <v>148</v>
      </c>
      <c r="B206" s="2"/>
      <c r="C206" s="2"/>
      <c r="D206" s="3"/>
    </row>
    <row r="207">
      <c r="A207" s="195"/>
      <c r="B207" s="192"/>
      <c r="D207" s="177">
        <v>25000.0</v>
      </c>
    </row>
    <row r="208">
      <c r="A208" s="186"/>
      <c r="B208" s="192"/>
      <c r="D208" s="177">
        <v>30000.0</v>
      </c>
    </row>
    <row r="209">
      <c r="A209" s="195"/>
      <c r="B209" s="192"/>
      <c r="D209" s="177">
        <v>35000.0</v>
      </c>
    </row>
    <row r="210">
      <c r="D210" s="177">
        <v>40000.0</v>
      </c>
    </row>
    <row r="211">
      <c r="D211" s="177">
        <v>45000.0</v>
      </c>
    </row>
    <row r="212">
      <c r="D212" s="177">
        <v>50000.0</v>
      </c>
    </row>
    <row r="213">
      <c r="D213" s="177">
        <v>55000.0</v>
      </c>
    </row>
    <row r="214">
      <c r="D214" s="177">
        <v>60000.0</v>
      </c>
    </row>
    <row r="215">
      <c r="D215" s="177">
        <v>65000.0</v>
      </c>
    </row>
    <row r="216">
      <c r="D216" s="177">
        <v>70000.0</v>
      </c>
    </row>
    <row r="217">
      <c r="D217" s="177">
        <v>75000.0</v>
      </c>
    </row>
    <row r="218">
      <c r="D218" s="177">
        <v>80000.0</v>
      </c>
    </row>
    <row r="219">
      <c r="D219" s="177">
        <v>85000.0</v>
      </c>
    </row>
    <row r="220">
      <c r="D220" s="177">
        <v>90000.0</v>
      </c>
    </row>
    <row r="221">
      <c r="D221" s="177">
        <v>95000.0</v>
      </c>
    </row>
    <row r="222">
      <c r="D222" s="177">
        <v>100000.0</v>
      </c>
    </row>
    <row r="224">
      <c r="A224" s="166" t="s">
        <v>249</v>
      </c>
      <c r="B224" s="2"/>
      <c r="C224" s="2"/>
      <c r="D224" s="3"/>
    </row>
    <row r="225">
      <c r="D225" s="201">
        <v>2000.0</v>
      </c>
    </row>
    <row r="226">
      <c r="D226" s="201">
        <v>2500.0</v>
      </c>
    </row>
    <row r="227">
      <c r="D227" s="201">
        <v>3000.0</v>
      </c>
    </row>
    <row r="228">
      <c r="D228" s="201">
        <v>3500.0</v>
      </c>
    </row>
    <row r="229">
      <c r="D229" s="201">
        <v>4000.0</v>
      </c>
    </row>
    <row r="230">
      <c r="D230" s="201">
        <v>4500.0</v>
      </c>
    </row>
    <row r="232">
      <c r="A232" s="166" t="s">
        <v>250</v>
      </c>
      <c r="B232" s="2"/>
      <c r="C232" s="2"/>
      <c r="D232" s="3"/>
    </row>
    <row r="233">
      <c r="C233" s="193" t="s">
        <v>209</v>
      </c>
      <c r="D233" s="188">
        <f>1800+900</f>
        <v>2700</v>
      </c>
    </row>
    <row r="234">
      <c r="C234" s="193" t="s">
        <v>129</v>
      </c>
      <c r="D234" s="188">
        <f>1400+900</f>
        <v>2300</v>
      </c>
    </row>
    <row r="235">
      <c r="C235" s="193" t="s">
        <v>210</v>
      </c>
      <c r="D235" s="188">
        <v>1500.0</v>
      </c>
    </row>
    <row r="236">
      <c r="C236" s="193" t="s">
        <v>132</v>
      </c>
      <c r="D236" s="188">
        <v>1300.0</v>
      </c>
    </row>
    <row r="237">
      <c r="C237" s="193" t="s">
        <v>127</v>
      </c>
      <c r="D237" s="188">
        <v>1000.0</v>
      </c>
    </row>
    <row r="238">
      <c r="C238" s="202" t="s">
        <v>211</v>
      </c>
      <c r="D238" s="203">
        <f>1400+500</f>
        <v>1900</v>
      </c>
    </row>
    <row r="239">
      <c r="C239" s="193"/>
      <c r="D239" s="188"/>
    </row>
    <row r="240">
      <c r="A240" s="166" t="s">
        <v>251</v>
      </c>
      <c r="B240" s="2"/>
      <c r="C240" s="2"/>
      <c r="D240" s="3"/>
    </row>
    <row r="241">
      <c r="D241" s="204">
        <v>0.04</v>
      </c>
    </row>
    <row r="242">
      <c r="D242" s="205">
        <v>0.05</v>
      </c>
    </row>
    <row r="243">
      <c r="D243" s="205">
        <v>0.06</v>
      </c>
    </row>
    <row r="244">
      <c r="D244" s="205">
        <v>0.07</v>
      </c>
    </row>
    <row r="245">
      <c r="A245" s="166" t="s">
        <v>95</v>
      </c>
      <c r="B245" s="2"/>
      <c r="C245" s="2"/>
      <c r="D245" s="3"/>
    </row>
    <row r="246">
      <c r="C246" s="97" t="s">
        <v>252</v>
      </c>
      <c r="D246" s="204">
        <v>5.5</v>
      </c>
    </row>
    <row r="247">
      <c r="D247" s="205"/>
    </row>
    <row r="248">
      <c r="A248" s="166" t="s">
        <v>253</v>
      </c>
      <c r="B248" s="2"/>
      <c r="C248" s="2"/>
      <c r="D248" s="3"/>
    </row>
    <row r="249">
      <c r="C249" s="168" t="s">
        <v>254</v>
      </c>
      <c r="D249" s="206">
        <v>47.0</v>
      </c>
    </row>
    <row r="250">
      <c r="C250" s="168" t="s">
        <v>255</v>
      </c>
      <c r="D250" s="175">
        <v>30.0</v>
      </c>
    </row>
    <row r="252">
      <c r="A252" s="166" t="s">
        <v>256</v>
      </c>
      <c r="B252" s="2"/>
      <c r="C252" s="2"/>
      <c r="D252" s="3"/>
    </row>
    <row r="253">
      <c r="C253" s="97" t="s">
        <v>257</v>
      </c>
      <c r="D253" s="175">
        <v>250.0</v>
      </c>
    </row>
    <row r="256">
      <c r="A256" s="207" t="s">
        <v>258</v>
      </c>
      <c r="B256" s="2"/>
      <c r="C256" s="2"/>
      <c r="D256" s="3"/>
    </row>
    <row r="257">
      <c r="A257" s="191"/>
      <c r="B257" s="191"/>
      <c r="C257" s="191"/>
      <c r="D257" s="191"/>
    </row>
    <row r="258">
      <c r="A258" s="191"/>
      <c r="B258" s="191"/>
      <c r="C258" s="191" t="s">
        <v>259</v>
      </c>
      <c r="D258" s="208">
        <v>150.0</v>
      </c>
    </row>
    <row r="259">
      <c r="A259" s="191"/>
      <c r="B259" s="191"/>
      <c r="C259" s="191" t="s">
        <v>260</v>
      </c>
      <c r="D259" s="208">
        <v>500.0</v>
      </c>
    </row>
  </sheetData>
  <mergeCells count="38">
    <mergeCell ref="A1:D1"/>
    <mergeCell ref="E2:E4"/>
    <mergeCell ref="A9:D9"/>
    <mergeCell ref="A13:D13"/>
    <mergeCell ref="A19:D19"/>
    <mergeCell ref="A37:D37"/>
    <mergeCell ref="A53:D53"/>
    <mergeCell ref="A59:D59"/>
    <mergeCell ref="A64:D64"/>
    <mergeCell ref="B68:D68"/>
    <mergeCell ref="B72:D72"/>
    <mergeCell ref="B78:D78"/>
    <mergeCell ref="B81:D81"/>
    <mergeCell ref="B84:D84"/>
    <mergeCell ref="A88:D88"/>
    <mergeCell ref="A91:D91"/>
    <mergeCell ref="A106:D106"/>
    <mergeCell ref="A125:D125"/>
    <mergeCell ref="A142:D142"/>
    <mergeCell ref="A147:D147"/>
    <mergeCell ref="A153:D153"/>
    <mergeCell ref="A158:D158"/>
    <mergeCell ref="A163:D163"/>
    <mergeCell ref="B165:B169"/>
    <mergeCell ref="A171:D171"/>
    <mergeCell ref="A176:D176"/>
    <mergeCell ref="A179:D179"/>
    <mergeCell ref="A184:D184"/>
    <mergeCell ref="A248:D248"/>
    <mergeCell ref="A252:D252"/>
    <mergeCell ref="A256:D256"/>
    <mergeCell ref="A190:D190"/>
    <mergeCell ref="A201:D201"/>
    <mergeCell ref="A206:D206"/>
    <mergeCell ref="A224:D224"/>
    <mergeCell ref="A232:D232"/>
    <mergeCell ref="A240:D240"/>
    <mergeCell ref="A245:D245"/>
  </mergeCells>
  <hyperlinks>
    <hyperlink r:id="rId1" ref="A158"/>
  </hyperlinks>
  <drawing r:id="rId2"/>
</worksheet>
</file>